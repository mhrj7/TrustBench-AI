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1839E788-7AF9-C14B-8760-5760C63148E7}" xr6:coauthVersionLast="47" xr6:coauthVersionMax="47" xr10:uidLastSave="{00000000-0000-0000-0000-000000000000}"/>
  <bookViews>
    <workbookView xWindow="0" yWindow="62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U53" i="1"/>
  <c r="G53" i="1"/>
  <c r="U52" i="1"/>
  <c r="G52" i="1"/>
  <c r="U51" i="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G46" i="1"/>
  <c r="G43" i="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<sst xmlns="http://schemas.openxmlformats.org/spreadsheetml/2006/main" count="1231" uniqueCount="887">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</sst>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44" activePane="bottomRight" state="frozen"/>
      <selection pane="topRight"/>
      <selection pane="bottomLeft"/>
      <selection pane="bottomRight" activeCell="G46" sqref="G46"/>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39</v>
      </c>
      <c r="C5" s="6">
        <f>IF(A5=0,0,B5/A5)</f>
        <v>0.54166666666666663</v>
      </c>
      <c r="D5" s="5">
        <f>COUNTIFS($D$12:$D$83,"Blocked")</f>
        <v>0</v>
      </c>
      <c r="E5" s="5">
        <f>SUM($H$12:$H$83)</f>
        <v>357</v>
      </c>
      <c r="F5" s="5">
        <f>SUMIFS($H$12:$H$83,$D$12:$D$83,"&lt;&gt;Completed")</f>
        <v>177</v>
      </c>
      <c r="G5" s="6">
        <f>COUNTIFS($Q$12:$Q$83,"Core",$D$12:$D$83,"Completed")/COUNTIFS($Q$12:$Q$83,"Core")</f>
        <v>0.72222222222222221</v>
      </c>
      <c r="H5" s="7">
        <f>IF(B7&gt;0,SUMIFS($H$12:$H$83,$Q$12:$Q$83,"Core",$D$12:$D$83,"&lt;&gt;Completed")/B7,"Set hours/week")</f>
        <v>4.416666666666667</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288</v>
      </c>
      <c r="E51" s="10" t="s">
        <v>385</v>
      </c>
      <c r="F51" s="10"/>
      <c r="G51" s="10" t="str">
        <f t="shared" si="2"/>
        <v>Ready</v>
      </c>
      <c r="H51" s="18">
        <v>5</v>
      </c>
      <c r="I51" s="14"/>
      <c r="J51" s="16"/>
      <c r="K51" s="10" t="s">
        <v>393</v>
      </c>
      <c r="L51" s="10" t="s">
        <v>394</v>
      </c>
      <c r="M51" s="10" t="s">
        <v>395</v>
      </c>
      <c r="N51" s="10" t="s">
        <v>396</v>
      </c>
      <c r="O51" s="10" t="s">
        <v>397</v>
      </c>
      <c r="P51" s="10" t="s">
        <v>398</v>
      </c>
      <c r="Q51" s="10" t="s">
        <v>43</v>
      </c>
      <c r="R51" s="10"/>
      <c r="S51" s="14"/>
      <c r="T51" s="14"/>
      <c r="U51" s="10">
        <f t="shared" si="3"/>
        <v>0</v>
      </c>
    </row>
    <row r="52" spans="1:21" ht="64" customHeight="1">
      <c r="A52" s="11" t="s">
        <v>399</v>
      </c>
      <c r="B52" s="11" t="s">
        <v>369</v>
      </c>
      <c r="C52" s="11" t="s">
        <v>400</v>
      </c>
      <c r="D52" s="14" t="s">
        <v>288</v>
      </c>
      <c r="E52" s="11" t="s">
        <v>391</v>
      </c>
      <c r="F52" s="11"/>
      <c r="G52" s="11" t="str">
        <f t="shared" si="2"/>
        <v>Waiting</v>
      </c>
      <c r="H52" s="18">
        <v>4</v>
      </c>
      <c r="I52" s="14"/>
      <c r="J52" s="16"/>
      <c r="K52" s="11" t="s">
        <v>872</v>
      </c>
      <c r="L52" s="11" t="s">
        <v>401</v>
      </c>
      <c r="M52" s="11" t="s">
        <v>402</v>
      </c>
      <c r="N52" s="11" t="s">
        <v>873</v>
      </c>
      <c r="O52" s="11" t="s">
        <v>403</v>
      </c>
      <c r="P52" s="11" t="s">
        <v>404</v>
      </c>
      <c r="Q52" s="11" t="s">
        <v>43</v>
      </c>
      <c r="R52" s="11"/>
      <c r="S52" s="14"/>
      <c r="T52" s="14"/>
      <c r="U52" s="10">
        <f t="shared" si="3"/>
        <v>0</v>
      </c>
    </row>
    <row r="53" spans="1:21" ht="64" customHeight="1">
      <c r="A53" s="10" t="s">
        <v>405</v>
      </c>
      <c r="B53" s="10" t="s">
        <v>369</v>
      </c>
      <c r="C53" s="10" t="s">
        <v>406</v>
      </c>
      <c r="D53" s="14" t="s">
        <v>288</v>
      </c>
      <c r="E53" s="10" t="s">
        <v>399</v>
      </c>
      <c r="F53" s="10"/>
      <c r="G53" s="10" t="str">
        <f t="shared" si="2"/>
        <v>Waiting</v>
      </c>
      <c r="H53" s="18">
        <v>3</v>
      </c>
      <c r="I53" s="14"/>
      <c r="J53" s="16"/>
      <c r="K53" s="10" t="s">
        <v>407</v>
      </c>
      <c r="L53" s="10" t="s">
        <v>408</v>
      </c>
      <c r="M53" s="10" t="s">
        <v>409</v>
      </c>
      <c r="N53" s="10" t="s">
        <v>410</v>
      </c>
      <c r="O53" s="10" t="s">
        <v>411</v>
      </c>
      <c r="P53" s="10" t="s">
        <v>412</v>
      </c>
      <c r="Q53" s="10" t="s">
        <v>43</v>
      </c>
      <c r="R53" s="10"/>
      <c r="S53" s="14"/>
      <c r="T53" s="14"/>
      <c r="U53" s="10">
        <f t="shared" si="3"/>
        <v>0</v>
      </c>
    </row>
    <row r="54" spans="1:21" ht="64" customHeight="1">
      <c r="A54" s="12" t="s">
        <v>413</v>
      </c>
      <c r="B54" s="12" t="s">
        <v>414</v>
      </c>
      <c r="C54" s="12" t="s">
        <v>415</v>
      </c>
      <c r="D54" s="13" t="s">
        <v>288</v>
      </c>
      <c r="E54" s="12" t="s">
        <v>360</v>
      </c>
      <c r="F54" s="12"/>
      <c r="G54" s="12" t="str">
        <f t="shared" si="2"/>
        <v>Ready</v>
      </c>
      <c r="H54" s="17">
        <v>4</v>
      </c>
      <c r="I54" s="13"/>
      <c r="J54" s="15"/>
      <c r="K54" s="12" t="s">
        <v>416</v>
      </c>
      <c r="L54" s="12" t="s">
        <v>417</v>
      </c>
      <c r="M54" s="12" t="s">
        <v>418</v>
      </c>
      <c r="N54" s="12" t="s">
        <v>419</v>
      </c>
      <c r="O54" s="12" t="s">
        <v>420</v>
      </c>
      <c r="P54" s="12" t="s">
        <v>421</v>
      </c>
      <c r="Q54" s="12" t="s">
        <v>43</v>
      </c>
      <c r="R54" s="12" t="s">
        <v>53</v>
      </c>
      <c r="S54" s="13"/>
      <c r="T54" s="13"/>
      <c r="U54" s="10">
        <f t="shared" si="3"/>
        <v>0</v>
      </c>
    </row>
    <row r="55" spans="1:21" ht="64" customHeight="1">
      <c r="A55" s="10" t="s">
        <v>422</v>
      </c>
      <c r="B55" s="10" t="s">
        <v>414</v>
      </c>
      <c r="C55" s="10" t="s">
        <v>423</v>
      </c>
      <c r="D55" s="14" t="s">
        <v>288</v>
      </c>
      <c r="E55" s="10" t="s">
        <v>413</v>
      </c>
      <c r="F55" s="10"/>
      <c r="G55" s="10" t="str">
        <f t="shared" si="2"/>
        <v>Waiting</v>
      </c>
      <c r="H55" s="18">
        <v>5</v>
      </c>
      <c r="I55" s="14"/>
      <c r="J55" s="16"/>
      <c r="K55" s="10" t="s">
        <v>424</v>
      </c>
      <c r="L55" s="10" t="s">
        <v>425</v>
      </c>
      <c r="M55" s="10" t="s">
        <v>426</v>
      </c>
      <c r="N55" s="10" t="s">
        <v>427</v>
      </c>
      <c r="O55" s="10" t="s">
        <v>428</v>
      </c>
      <c r="P55" s="10" t="s">
        <v>429</v>
      </c>
      <c r="Q55" s="10" t="s">
        <v>43</v>
      </c>
      <c r="R55" s="10"/>
      <c r="S55" s="14"/>
      <c r="T55" s="14"/>
      <c r="U55" s="10">
        <f t="shared" si="3"/>
        <v>0</v>
      </c>
    </row>
    <row r="56" spans="1:21" ht="64" customHeight="1">
      <c r="A56" s="11" t="s">
        <v>430</v>
      </c>
      <c r="B56" s="11" t="s">
        <v>414</v>
      </c>
      <c r="C56" s="11" t="s">
        <v>431</v>
      </c>
      <c r="D56" s="14" t="s">
        <v>288</v>
      </c>
      <c r="E56" s="11" t="s">
        <v>422</v>
      </c>
      <c r="F56" s="11"/>
      <c r="G56" s="11" t="str">
        <f t="shared" si="2"/>
        <v>Waiting</v>
      </c>
      <c r="H56" s="18">
        <v>4</v>
      </c>
      <c r="I56" s="14"/>
      <c r="J56" s="16"/>
      <c r="K56" s="11" t="s">
        <v>432</v>
      </c>
      <c r="L56" s="11" t="s">
        <v>433</v>
      </c>
      <c r="M56" s="11" t="s">
        <v>434</v>
      </c>
      <c r="N56" s="11" t="s">
        <v>435</v>
      </c>
      <c r="O56" s="11" t="s">
        <v>436</v>
      </c>
      <c r="P56" s="11" t="s">
        <v>437</v>
      </c>
      <c r="Q56" s="11" t="s">
        <v>43</v>
      </c>
      <c r="R56" s="11"/>
      <c r="S56" s="14"/>
      <c r="T56" s="14"/>
      <c r="U56" s="10">
        <f t="shared" si="3"/>
        <v>0</v>
      </c>
    </row>
    <row r="57" spans="1:21" ht="64" customHeight="1">
      <c r="A57" s="10" t="s">
        <v>438</v>
      </c>
      <c r="B57" s="10" t="s">
        <v>414</v>
      </c>
      <c r="C57" s="10" t="s">
        <v>439</v>
      </c>
      <c r="D57" s="14" t="s">
        <v>288</v>
      </c>
      <c r="E57" s="10" t="s">
        <v>430</v>
      </c>
      <c r="F57" s="10"/>
      <c r="G57" s="10" t="str">
        <f t="shared" si="2"/>
        <v>Waiting</v>
      </c>
      <c r="H57" s="18">
        <v>4</v>
      </c>
      <c r="I57" s="14"/>
      <c r="J57" s="16"/>
      <c r="K57" s="10" t="s">
        <v>440</v>
      </c>
      <c r="L57" s="10" t="s">
        <v>441</v>
      </c>
      <c r="M57" s="10" t="s">
        <v>442</v>
      </c>
      <c r="N57" s="10" t="s">
        <v>443</v>
      </c>
      <c r="O57" s="10" t="s">
        <v>444</v>
      </c>
      <c r="P57" s="10" t="s">
        <v>445</v>
      </c>
      <c r="Q57" s="10" t="s">
        <v>43</v>
      </c>
      <c r="R57" s="10"/>
      <c r="S57" s="14"/>
      <c r="T57" s="14"/>
      <c r="U57" s="10">
        <f t="shared" si="3"/>
        <v>0</v>
      </c>
    </row>
    <row r="58" spans="1:21" ht="64" customHeight="1">
      <c r="A58" s="11" t="s">
        <v>446</v>
      </c>
      <c r="B58" s="11" t="s">
        <v>414</v>
      </c>
      <c r="C58" s="11" t="s">
        <v>447</v>
      </c>
      <c r="D58" s="14" t="s">
        <v>288</v>
      </c>
      <c r="E58" s="11" t="s">
        <v>438</v>
      </c>
      <c r="F58" s="11"/>
      <c r="G58" s="11" t="str">
        <f t="shared" si="2"/>
        <v>Waiting</v>
      </c>
      <c r="H58" s="18">
        <v>5</v>
      </c>
      <c r="I58" s="14"/>
      <c r="J58" s="16"/>
      <c r="K58" s="11" t="s">
        <v>448</v>
      </c>
      <c r="L58" s="11" t="s">
        <v>449</v>
      </c>
      <c r="M58" s="11" t="s">
        <v>450</v>
      </c>
      <c r="N58" s="11" t="s">
        <v>451</v>
      </c>
      <c r="O58" s="11" t="s">
        <v>452</v>
      </c>
      <c r="P58" s="11" t="s">
        <v>453</v>
      </c>
      <c r="Q58" s="11" t="s">
        <v>43</v>
      </c>
      <c r="R58" s="11"/>
      <c r="S58" s="14"/>
      <c r="T58" s="14"/>
      <c r="U58" s="10">
        <f t="shared" si="3"/>
        <v>0</v>
      </c>
    </row>
    <row r="59" spans="1:21" ht="64" customHeight="1">
      <c r="A59" s="10" t="s">
        <v>454</v>
      </c>
      <c r="B59" s="10" t="s">
        <v>414</v>
      </c>
      <c r="C59" s="10" t="s">
        <v>455</v>
      </c>
      <c r="D59" s="14" t="s">
        <v>288</v>
      </c>
      <c r="E59" s="10" t="s">
        <v>446</v>
      </c>
      <c r="F59" s="10"/>
      <c r="G59" s="10" t="str">
        <f t="shared" si="2"/>
        <v>Waiting</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3</v>
      </c>
      <c r="D97" s="11">
        <f t="shared" si="8"/>
        <v>3</v>
      </c>
      <c r="E97" s="11">
        <f t="shared" si="9"/>
        <v>0</v>
      </c>
      <c r="F97" s="11">
        <f t="shared" si="10"/>
        <v>0</v>
      </c>
      <c r="G97" s="20">
        <f t="shared" si="11"/>
        <v>0.5</v>
      </c>
      <c r="H97" s="11">
        <f t="shared" si="12"/>
        <v>25</v>
      </c>
      <c r="I97" s="11">
        <f t="shared" si="13"/>
        <v>12</v>
      </c>
      <c r="J97" s="11">
        <f t="shared" si="14"/>
        <v>1</v>
      </c>
      <c r="K97" s="1"/>
      <c r="L97" s="1"/>
      <c r="M97" s="1"/>
      <c r="N97" s="1"/>
      <c r="O97" s="1"/>
      <c r="P97" s="1"/>
      <c r="Q97" s="1"/>
      <c r="R97" s="1"/>
      <c r="S97" s="1"/>
      <c r="T97" s="1"/>
      <c r="U97" s="1"/>
    </row>
    <row r="98" spans="1:21" ht="38" customHeight="1">
      <c r="A98" s="10" t="s">
        <v>414</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2026-10-17T09:00:05Z</dcterms:modified>
</cp:coreProperties>
</file>