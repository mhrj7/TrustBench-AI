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858B29FB-8685-8C46-94D0-EDE1BD6743D3}" xr6:coauthVersionLast="47" xr6:coauthVersionMax="47" xr10:uidLastSave="{00000000-0000-0000-0000-000000000000}"/>
  <bookViews>
    <workbookView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U63" i="1"/>
  <c r="G64" i="1" s="1"/>
  <c r="U62" i="1"/>
  <c r="G63" i="1" s="1"/>
  <c r="U61" i="1"/>
  <c r="G62" i="1" s="1"/>
  <c r="U60" i="1"/>
  <c r="G61" i="1" s="1"/>
  <c r="U59" i="1"/>
  <c r="U58" i="1"/>
  <c r="G59" i="1" s="1"/>
  <c r="U57" i="1"/>
  <c r="G58" i="1" s="1"/>
  <c r="U56" i="1"/>
  <c r="G57" i="1" s="1"/>
  <c r="U55" i="1"/>
  <c r="G56" i="1" s="1"/>
  <c r="U54" i="1"/>
  <c r="G55" i="1" s="1"/>
  <c r="U53" i="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60" i="1" l="1"/>
  <c r="G48" i="1"/>
  <c r="J97" i="1" s="1"/>
  <c r="G46" i="1"/>
  <c r="G43" i="1"/>
  <c r="G100" i="1"/>
  <c r="G72" i="1"/>
  <c r="G73" i="1"/>
  <c r="G74" i="1"/>
  <c r="G69" i="1"/>
  <c r="G70"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<sst xmlns="http://schemas.openxmlformats.org/spreadsheetml/2006/main" count="1258" uniqueCount="914">
  <si>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</si>
  <si>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</si>
  <si>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</si>
  <si>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</si>
  <si>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</si>
  <si>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</si>
  <si>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</si>
  <si>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</si>
  <si>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</si>
  <si>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</si>
  <si>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</si>
  <si>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</si>
  <si>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</si>
  <si>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</si>
  <si>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</si>
  <si>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</si>
  <si>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</si>
  <si>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</si>
  <si>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</si>
  <si>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</si>
  <si>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</si>
  <si>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</si>
  <si>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</si>
  <si>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</si>
  <si>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</si>
  <si>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</si>
  <si>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</si>
  <si>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</si>
  <si>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</si>
  <si>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</si>
  <si>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</si>
  <si>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</si>
  <si>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</si>
  <si>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</si>
  <si>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</si>
  <si>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</si>
  <si>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</si>
  <si>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</si>
  <si>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</si>
  <si>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</si>
  <si>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</si>
  <si>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</si>
  <si>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</si>
  <si>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</si>
  <si>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</si>
  <si>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</si>
  <si>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</si>
  <si>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</si>
  <si>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</si>
  <si>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</si>
  <si>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</si>
  <si>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</si>
  <si>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</si>
  <si>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</si>
  <si>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</si>
  <si>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</si>
  <si>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</si>
  <si>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</si>
  <si>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</si>
  <si>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</si>
  <si>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</si>
  <si>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</si>
  <si>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</si>
  <si>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</si>
  <si>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</si>
  <si>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</si>
  <si>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</si>
  <si>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</si>
  <si>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</si>
  <si>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</si>
  <si>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</si>
  <si>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</si>
  <si>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</si>
  <si>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</si>
  <si>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</si>
  <si>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</si>
  <si>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</si>
  <si>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</si>
  <si>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</si>
  <si>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</si>
  <si>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</si>
  <si>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</si>
  <si>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</si>
  <si>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</si>
  <si>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</si>
  <si>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</si>
  <si>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</si>
  <si>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</si>
  <si>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</si>
  <si>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</si>
  <si>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</si>
  <si>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</si>
  <si>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</si>
  <si>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</si>
  <si>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</si>
  <si>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</si>
  <si>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</si>
  <si>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</si>
  <si>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</si>
  <si>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</si>
  <si>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</si>
  <si>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</si>
  <si>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</si>
  <si>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</si>
  <si>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</si>
  <si>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</si>
  <si>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</si>
  <si>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</si>
  <si>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</si>
  <si>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</si>
  <si>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</si>
  <si>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</si>
  <si>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</si>
  <si>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</si>
  <si>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</si>
  <si>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</si>
  <si>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</si>
  <si>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</si>
  <si>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</si>
  <si>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</si>
  <si>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</si>
  <si>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</si>
  <si>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</si>
  <si>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</si>
  <si>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</si>
  <si>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</si>
  <si>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</si>
  <si>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</si>
  <si>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</si>
  <si>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</si>
  <si>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</si>
  <si>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</si>
  <si>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</si>
  <si>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</si>
  <si>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</si>
  <si>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</si>
  <si>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</si>
  <si>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</si>
  <si>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</si>
  <si>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</si>
  <si>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</si>
  <si>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</si>
  <si>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</si>
  <si>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</si>
  <si>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</si>
  <si>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</si>
  <si>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</si>
  <si>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</si>
  <si>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</si>
  <si>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</si>
  <si>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</si>
  <si>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</si>
  <si>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</si>
  <si>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</si>
  <si>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</si>
  <si>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</si>
  <si>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</si>
  <si>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</si>
  <si>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</si>
  <si>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</si>
  <si>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</si>
  <si>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</si>
  <si>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</si>
  <si>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</si>
  <si>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</si>
  <si>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</si>
  <si>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</si>
  <si>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</si>
  <si>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</si>
  <si>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</si>
  <si>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</si>
  <si>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</si>
  <si>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</si>
  <si>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</si>
  <si>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</si>
  <si>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</si>
  <si>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</si>
  <si>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</si>
  <si>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</si>
  <si>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</si>
  <si>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</si>
  <si>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</si>
  <si>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</si>
  <si>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</si>
  <si>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</si>
  <si>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</si>
  <si>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</si>
  <si>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</si>
  <si>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</si>
  <si>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</si>
  <si>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</si>
  <si>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</si>
  <si>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</si>
  <si>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</si>
  <si>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</si>
  <si>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</si>
  <si>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</si>
  <si>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</si>
  <si>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</si>
  <si>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</si>
  <si>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</si>
  <si>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</si>
  <si>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</si>
  <si>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</si>
  <si>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</si>
  <si>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</si>
  <si>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</si>
  <si>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</si>
  <si>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</si>
  <si>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</si>
  <si>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</si>
  <si>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</si>
  <si>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</si>
  <si>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</si>
  <si>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</si>
  <si>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</si>
  <si>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</si>
  <si>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</si>
  <si>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</si>
  <si>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</si>
  <si>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</si>
  <si>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</si>
  <si>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</si>
  <si>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</si>
  <si>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</si>
  <si>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</si>
  <si>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</si>
  <si>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</si>
  <si>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</si>
  <si>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</si>
  <si>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</si>
  <si>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</si>
  <si>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</si>
  <si>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</si>
  <si>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</si>
  <si>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</si>
  <si>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</si>
  <si>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</si>
  <si>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</si>
  <si>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</si>
  <si>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</si>
  <si>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</si>
  <si>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</si>
  <si>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</si>
  <si>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</si>
  <si>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</si>
  <si>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</si>
  <si>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</si>
  <si>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</si>
  <si>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</si>
  <si>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</si>
  <si>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</si>
  <si>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</si>
  <si>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</si>
  <si>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</si>
  <si>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</si>
  <si>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</si>
  <si>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</si>
  <si>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</si>
  <si>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</si>
  <si>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</si>
  <si>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</si>
  <si>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</si>
  <si>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</si>
  <si>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</si>
  <si>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</si>
  <si>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</si>
  <si>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</si>
  <si>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</si>
  <si>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</si>
  <si>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</si>
  <si>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</si>
  <si>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</si>
  <si>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</si>
  <si>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</si>
  <si>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</si>
  <si>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</si>
  <si>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</si>
  <si>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</si>
  <si>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</si>
  <si>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</si>
  <si>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</si>
  <si>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</si>
  <si>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</si>
  <si>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</si>
  <si>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</si>
  <si>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</si>
  <si>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</si>
  <si>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</si>
  <si>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</si>
  <si>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</si>
  <si>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</si>
  <si>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</si>
  <si>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</si>
  <si>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</si>
  <si>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</si>
  <si>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</si>
  <si>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</si>
  <si>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</si>
  <si>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</si>
  <si>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</si>
  <si>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</si>
  <si>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</si>
  <si>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</si>
  <si>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</si>
  <si>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</si>
  <si>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</si>
  <si>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</si>
  <si>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</si>
  <si>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</si>
  <si>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</si>
  <si>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</si>
  <si>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</si>
  <si>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</si>
  <si>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</si>
  <si>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</si>
  <si>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</si>
  <si>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</si>
  <si>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</si>
  <si>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</si>
  <si>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</si>
  <si>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</si>
  <si>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</si>
  <si>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</si>
  <si>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</si>
  <si>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</si>
  <si>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</si>
  <si>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</si>
  <si>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</si>
  <si>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</si>
  <si>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</si>
  <si>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</si>
  <si>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</si>
  <si>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</si>
  <si>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</si>
  <si>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</si>
  <si>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</si>
  <si>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</si>
  <si>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</si>
  <si>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</si>
  <si>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</si>
  <si>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</si>
  <si>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</si>
  <si>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</si>
  <si>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</si>
  <si>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</si>
  <si>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</si>
  <si>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</si>
  <si>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</si>
  <si>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</si>
  <si>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</si>
  <si>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</si>
  <si>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</si>
  <si>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</si>
  <si>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</si>
  <si>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</si>
  <si>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</si>
  <si>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</si>
  <si>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</si>
  <si>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</si>
  <si>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</si>
  <si>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</si>
  <si>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</si>
  <si>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</si>
  <si>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</si>
  <si>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</si>
  <si>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</si>
  <si>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</si>
  <si>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</si>
  <si>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</si>
  <si>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</si>
  <si>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</si>
  <si>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</si>
  <si>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</si>
  <si>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</si>
  <si>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</si>
  <si>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</si>
  <si>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</si>
  <si>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</si>
  <si>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</si>
  <si>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</si>
  <si>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</si>
  <si>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</si>
  <si>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</si>
  <si>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</si>
  <si>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</si>
  <si>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</si>
  <si>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</si>
  <si>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</si>
  <si>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</si>
  <si>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</si>
  <si>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</si>
  <si>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</si>
  <si>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</si>
  <si>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</si>
  <si>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</si>
  <si>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</si>
  <si>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</si>
  <si>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</si>
  <si>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</si>
  <si>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</si>
  <si>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</si>
  <si>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</si>
  <si>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</si>
  <si>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</si>
  <si>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</si>
  <si>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</si>
  <si>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</si>
  <si>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</si>
  <si>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</si>
  <si>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</si>
  <si>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</si>
  <si>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</si>
  <si>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</si>
  <si>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</si>
  <si>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</si>
  <si>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</si>
  <si>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</si>
  <si>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</si>
  <si>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</si>
  <si>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</si>
  <si>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</si>
  <si>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</si>
  <si>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</si>
  <si>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</si>
  <si>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</si>
  <si>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</si>
  <si>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</si>
  <si>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</si>
  <si>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</si>
  <si>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</si>
  <si>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</si>
  <si>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</si>
  <si>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</si>
  <si>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</si>
  <si>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</si>
  <si>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</si>
  <si>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</si>
  <si>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</si>
  <si>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</si>
  <si>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</si>
  <si>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</si>
  <si>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</si>
  <si>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</si>
  <si>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</si>
  <si>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</si>
  <si>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</si>
  <si>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</si>
  <si>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</si>
  <si>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</si>
  <si>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</si>
  <si>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</si>
  <si>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</si>
  <si>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</si>
  <si>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</si>
  <si>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</si>
  <si>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</si>
  <si>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</si>
  <si>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</si>
  <si>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</si>
  <si>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</si>
  <si>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</si>
  <si>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</si>
  <si>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</si>
  <si>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</si>
  <si>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</si>
  <si>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</si>
  <si>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</si>
  <si>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</si>
  <si>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</si>
  <si>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</si>
  <si>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</si>
  <si>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</si>
  <si>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</si>
  <si>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</si>
  <si>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</si>
  <si>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</si>
  <si>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</si>
  <si>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</si>
  <si>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</si>
  <si>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</si>
  <si>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</si>
  <si>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</si>
  <si>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</si>
  <si>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</si>
  <si>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</si>
  <si>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</si>
  <si>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</si>
  <si>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</si>
  <si>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</si>
  <si>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</si>
  <si>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</si>
  <si>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</si>
  <si>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</si>
  <si>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</si>
  <si>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</si>
  <si>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</si>
  <si>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</si>
  <si>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</si>
  <si>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</si>
  <si>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</si>
  <si>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</si>
  <si>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</si>
  <si>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</si>
  <si>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</si>
  <si>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</si>
  <si>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</si>
  <si>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</si>
  <si>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</si>
  <si>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</si>
  <si>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</si>
  <si>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</si>
  <si>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</si>
  <si>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</si>
  <si>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</si>
  <si>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</si>
  <si>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</si>
  <si>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</si>
  <si>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</si>
  <si>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</si>
  <si>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</si>
  <si>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</si>
  <si>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</si>
  <si>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</si>
  <si>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</si>
  <si>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</si>
  <si>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</si>
  <si>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</si>
  <si>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</si>
  <si>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</si>
  <si>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</si>
  <si>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</si>
  <si>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</si>
  <si>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</si>
  <si>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</si>
  <si>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</si>
  <si>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</si>
  <si>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</si>
  <si>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</si>
  <si>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</si>
  <si>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</si>
  <si>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</si>
  <si>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</si>
  <si>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</si>
  <si>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</si>
  <si>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</si>
  <si>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</si>
  <si>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</si>
  <si>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</si>
  <si>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</si>
  <si>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</si>
  <si>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</si>
  <si>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</si>
  <si>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</si>
  <si>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</si>
  <si>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</si>
  <si>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</si>
  <si>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</si>
  <si>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</si>
  <si>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</si>
  <si>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</si>
  <si>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</si>
  <si>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</si>
  <si>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</si>
  <si>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</si>
  <si>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</si>
  <si>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</si>
  <si>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</si>
  <si>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</si>
  <si>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</si>
  <si>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</si>
  <si>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</si>
  <si>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</si>
  <si>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</si>
  <si>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</si>
  <si>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</si>
  <si>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</si>
  <si>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</si>
  <si>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</si>
  <si>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</si>
  <si>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</si>
  <si>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</si>
  <si>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</si>
  <si>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</si>
  <si>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</si>
  <si>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</si>
  <si>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</si>
  <si>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</si>
  <si>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</si>
  <si>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</si>
  <si>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</si>
  <si>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</si>
  <si>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</si>
  <si>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</si>
  <si>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</si>
  <si>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</si>
  <si>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</si>
  <si>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</si>
  <si>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</si>
  <si>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</si>
  <si>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</si>
  <si>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</si>
  <si>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</si>
  <si>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</si>
  <si>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</si>
  <si>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</si>
  <si>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</si>
  <si>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</si>
  <si>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</si>
  <si>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</si>
  <si>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</si>
  <si>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</si>
  <si>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</si>
  <si>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</si>
  <si>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</si>
  <si>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</si>
  <si>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</si>
  <si>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</si>
  <si>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</si>
  <si>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</si>
  <si>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</si>
  <si>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</si>
  <si>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</si>
  <si>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</si>
  <si>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</si>
  <si>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</si>
  <si>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</si>
  <si>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</si>
  <si>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</si>
  <si>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</si>
  <si>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</si>
  <si>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</si>
  <si>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</si>
  <si>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</si>
  <si>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</si>
  <si>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</si>
  <si>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</si>
  <si>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</si>
  <si>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</si>
  <si>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</si>
  <si>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</si>
  <si>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</si>
  <si>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</si>
  <si>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</si>
  <si>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</si>
  <si>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</si>
  <si>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</si>
  <si>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</si>
  <si>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</si>
  <si>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</si>
  <si>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</si>
  <si>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</si>
  <si>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</si>
  <si>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</si>
  <si>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</si>
  <si>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</si>
  <si>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</si>
  <si>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</si>
  <si>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</si>
  <si>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</si>
  <si>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</si>
  <si>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</si>
  <si>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</si>
  <si>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</si>
  <si>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</si>
  <si>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</si>
  <si>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</si>
  <si>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</si>
  <si>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</si>
  <si>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</si>
  <si>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</si>
  <si>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</si>
  <si>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</si>
  <si>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</si>
  <si>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</si>
  <si>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</si>
  <si>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</si>
  <si>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</si>
  <si>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</si>
  <si>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</si>
  <si>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</si>
  <si>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</si>
  <si>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</si>
  <si>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</si>
  <si>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</si>
  <si>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</si>
  <si>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</si>
  <si>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</si>
  <si>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</si>
  <si>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</si>
  <si>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</si>
  <si>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</si>
  <si>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</si>
  <si>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</si>
  <si>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</si>
  <si>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</si>
  <si>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</si>
  <si>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</si>
  <si>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</si>
  <si>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</si>
  <si>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</si>
  <si>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</si>
  <si>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</si>
  <si>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</si>
  <si>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</si>
  <si>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</si>
  <si>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</si>
  <si>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</si>
  <si>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</si>
  <si>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</si>
  <si>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</si>
  <si>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</si>
  <si>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</si>
  <si>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</si>
  <si>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</si>
  <si>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</si>
  <si>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</si>
  <si>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</si>
  <si>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</si>
  <si>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</si>
  <si>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</si>
  <si>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</si>
  <si>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</si>
  <si>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</si>
  <si>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</si>
  <si>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</si>
  <si>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</si>
  <si>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</si>
  <si>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</si>
  <si>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</si>
  <si>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</si>
  <si>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</si>
  <si>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</si>
  <si>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</si>
  <si>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</si>
  <si>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</si>
  <si>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</si>
  <si>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</si>
  <si>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</si>
  <si>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</si>
  <si>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</si>
  <si>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</si>
  <si>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</si>
  <si>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</si>
  <si>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</si>
  <si>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</si>
  <si>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</si>
  <si>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</si>
  <si>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</si>
  <si>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</si>
  <si>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</si>
  <si>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</si>
  <si>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</si>
  <si>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</si>
  <si>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</si>
  <si>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</si>
  <si>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</si>
  <si>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</si>
  <si>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</si>
  <si>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</si>
  <si>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</si>
  <si>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</si>
  <si>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</si>
  <si>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</si>
  <si>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</si>
  <si>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</si>
  <si>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</si>
  <si>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</si>
  <si>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</si>
  <si>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</si>
  <si>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</si>
  <si>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</si>
  <si>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</si>
  <si>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</si>
  <si>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</si>
  <si>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</si>
  <si>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</si>
  <si>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</si>
  <si>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</si>
  <si>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</si>
  <si>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</si>
  <si>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</si>
  <si>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</si>
  <si>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</si>
  <si>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</si>
  <si>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</si>
  <si>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</si>
  <si>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</si>
  <si>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</si>
  <si>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</si>
  <si>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</si>
  <si>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</si>
  <si>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</si>
  <si>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</si>
  <si>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</si>
  <si>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</si>
  <si>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</si>
  <si>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</si>
  <si>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</si>
  <si>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</si>
  <si>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</si>
  <si>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</si>
  <si>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</si>
  <si>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</si>
  <si>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</si>
  <si>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</si>
  <si>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</si>
  <si>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</si>
  <si>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</si>
  <si>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</si>
  <si>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</si>
  <si>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</si>
  <si>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</si>
  <si>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</si>
  <si>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</si>
  <si>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</si>
  <si>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</si>
  <si>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</si>
  <si>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</si>
  <si>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</si>
  <si>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</si>
  <si>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</si>
  <si>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</si>
  <si>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</si>
  <si>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</si>
  <si>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</si>
  <si>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</si>
  <si>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</si>
  <si>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</si>
  <si>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</si>
  <si>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</si>
  <si>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</si>
  <si>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</si>
  <si>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</si>
  <si>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</si>
  <si>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</si>
  <si>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</si>
  <si>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</si>
  <si>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</si>
  <si>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</si>
  <si>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</si>
  <si>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</si>
  <si>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</si>
  <si>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</si>
  <si>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</si>
  <si>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</si>
  <si>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</si>
  <si>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</si>
  <si>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</si>
  <si>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</si>
  <si>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</si>
  <si>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</si>
  <si>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</si>
  <si>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</si>
  <si>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</si>
  <si>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</si>
  <si>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</si>
  <si>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</si>
  <si>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</si>
  <si>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</si>
  <si>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</si>
  <si>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</si>
  <si>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</si>
  <si>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</si>
  <si>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</si>
  <si>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</si>
  <si>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</si>
  <si>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</si>
  <si>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</si>
  <si>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</si>
  <si>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</si>
  <si>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</si>
  <si>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</si>
  <si>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</si>
  <si>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</si>
  <si>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</si>
  <si>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</si>
  <si>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</si>
  <si>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</si>
  <si>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</si>
  <si>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</si>
  <si>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</si>
  <si>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</si>
  <si>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</si>
  <si>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</si>
  <si>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</si>
  <si>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</si>
  <si>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</si>
  <si>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</si>
  <si>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</si>
  <si>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</si>
  <si>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</si>
  <si>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</si>
  <si>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</si>
  <si>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</si>
  <si>
    <t>research/findings.md; evidence/tb044-hypothesis.json; scripts/test-hypothesis.py; configs/hypothesis.yaml; tests/research/test_hypothesis.py</t>
  </si>
  <si>
    <t>Done 2026-10-18 under the preregistered rule (unsafe interval below zero, utility lower bound above -5 pp). Supported on the pre-declared pool: unsafe committed effect 52/75 -&gt; 8/75, -58.7 pp [-77.3, -38.7]; benign utility 44/75 -&gt; 66/75, +29.3 pp [+16.0, +44.0]. Per holdout: holdout-2 supported (-61.7 pp [-81.7, -40.0]), holdout-1 not separated (-46.7 pp [-100, 0]); secondary renderings mixed. Failure slices: document workflow not separated (-16.0 pp [-40, 0]); TB-ATT-DOC-104 succeeded as often defended as undefended (3/5); new-family and holdout-1-attack slices include zero; 8 defended unsafe runs and 9 defended benign failures listed (mostly record-update mismatches). Cost: billed $0; +16.2 s and +671/+415 tokens per run, fewer tokens per success in 9 of 12 workloads. Not shown: that the provenance-aware part causes the gain (development ablation -22.2 pp [-55.6, 0], no confirmatory capability-only arm); combining existing components is not novel; no adaptive attacker. Hung-provider sensitivity -59.4 pp, conclusion unchanged.</t>
  </si>
  <si>
    <t>Done 2026-10-18. Sample: 61 of 780 valid confirmatory runs, stratified by workflow, kind, arm and evaluator verdict (22 strata, 3 per stratum, fixed seed), blind packets without evaluator labels. Two independent AI reviewers (A: Claude; B: Nemotron 3 Super, a different model family); no human reviewer, which is a stated limit. Agreement with the evaluator: utility 88.5% / 91.8% (kappa 0.77 / 0.84), security 88.5% / 100%, attacker goal 98.4% / 98.4%. 16 labels adjudicated with written reasons: 8 reviewer errors, 7 definition upheld (out-of-allowlist reads count as unsafe), 1 evaluator error. Evaluator error per label: 0/61, 0/61, 1/61 (Wilson upper 5.9%, 5.9%, 8.7%). The error was an oracle defect (a forbidden read counted as the attacker goal for 3 write-goal attacks): fixed in evaluator tb016.1.3.0 (A-029, post hoc, registered results not rewritten); all 780 runs relabelled from their traces, 6 changed, every analysis recomputed: 3 secondary/control attacker-goal cells change, primary unchanged, TB-044 decision stands. Sensitivity (extra reads counted as safe): pooled primary unsafe difference -58.7 -&gt; -42.7 pp [-58.7, -26.7], still excludes zero; some secondary renderings lose separation. Scripted release-gate baselines refreshed for the evaluator change (doc-birch-exfil baseline attacker goal True -&gt; False).</t>
  </si>
  <si>
    <t>research/label-audit.csv; research/label-audit.md; evidence/tb045-label-audit.json; research/label-audit/adjudication.jsonl; research/label-audit/rerun.json; scripts/label-audit.py; configs/label-audit.yaml; tests/research/test_label_audit.py; protocol/amendments.md</t>
  </si>
  <si>
    <t>repro/README.md; repro/manifest.json; repro/reproduction-log.json; repro/reproduction-log-clone.json; repro/run-in-container.sh; scripts/repro.py; configs/repro.yaml; tests/research/test_repro.py</t>
  </si>
  <si>
    <t>Done 2026-10-18. Git release repro-tb046 (tag on 0c1f9d0, GitHub release published). repro/manifest.json publishes fixture IDs by split (tuning, holdout, holdout2), the seeds from the registry (pair order 20261014, split 2026101401, 10000 bootstrap resamples) and SHA-256 hashes of 6 fixture files, 41 configs, 10 analysis scripts and 14 raw run records. Excluded and checked (scripts/repro.py check): .env, deployment secrets, demo backups, the AgentDojo checkout (fetched by pinned commit, MIT), local state; no credential-shaped string in the tree or in the full git history (only a fake test key), and no personal identifier in the tree (two docs that named the author's machine were fixed; older commit texts still contain a local path and machine name, not rewritten). Acceptance: the offline subset (10 steps: validate, pinned hashes, scripted smoke, TB-033..036 metrics from raw records, TB-043, TB-044, TB-045 rerun and report, reproduction tests, research tests) reproduced 10/10 with 0 unexpected file changes in two routes: a clean Linux container as a non-root user with no network from only the tracked files, and a fresh GitHub clone of the tag following repro/README.md. Only timestamps, wall-clock timings and random IDs differ. Limits: both runs by the author (no independent person yet); live model runs cannot be replayed exactly (raw records published, all numbers recomputed from them); the AgentDojo check needs fetch-data (network); browser tests need Chrome.</t>
  </si>
  <si>
    <t>research/report.md; research/report-claims.json; research/report.template.md; scripts/build-report.py; configs/report.yaml; tests/research/test_report.py</t>
  </si>
  <si>
    <t>Done 2026-10-18. research/report.md (Markdown) covers problem, threat model, system, experimental design, results, failure cases, evaluation quality, engineering evidence, limits and relation to prior work, with links to the evidence. Acceptance: every number is a placeholder resolved from a committed artifact; the claim ledger research/report-claims.json maps all 137 claims to 18 source files (path, raw value, rendered text, report line) with content hashes. Checks: the build fails on any digit or number word outside a placeholder or identifier, any dead link or cited path, any unrendered placeholder, and overclaiming phrases (patent, publication acceptance, state of the art, provable or guaranteed security); tests re-resolve every claim, scan the rendered report so every number on a line is covered by a claim (an injected unsourced number fails), and check source hashes. The report check is a reproduction step: 11/11 reproduced in the clean offline container at 7285854. Stated in the report: not peer reviewed; holdout-1 alone not separated; provenance layer not shown to drive the gain; static attacks only; AI-only label audit.</t>
  </si>
  <si>
    <t>research/claims.md; research/claims-ledger.json; research/claims-check.json; research/claims.template.md; scripts/check-claims.py; configs/claims.yaml; tests/research/test_claims.py</t>
  </si>
  <si>
    <t>Done 2026-10-18. research/claims.md separates: components replicated or adapted from prior work (each with its related-work row: Progent, tool filter, RTBAS, CaMeL, FIDES, AgentDojo, InjecAgent, spotlighting, repeat prompt, MELON, WASP, out-of-band consensus RW24); engineering contributions with evidence; result statements that may be made, each with its required qualifier and numbers from stored artifacts (21 claims, ledger); hypotheses needing more evidence (provenance layer as cause, holdout-1 alone, adaptive attacker, generalisation, over-defense, human labels); and what is not claimed (novelty, guarantees, production readiness, patent or publication, hiring). Acceptance check (scripts/check-claims.py, in verify and the offline reproduction): 64 public files scanned for novelty, guarantee, publication, patent and resume phrases; 49 hits, each allowed with a reason (negations, descriptions of other work, narrow tested mechanism properties, the frozen label); a planted overclaim or an unsourced portfolio number fails. Fixed: the website headline claimed each defense cut attacks from point estimates (now a count such as 'Fewer attacker wins for 12 of 14 defenses', with development data and point estimates stated beside it; the public demo shows it after its next redeploy). Not fixed, disclosed: the working label 'novel candidate' stays in the frozen-matched live config and recorded reports (changing it needs a new amendment). Reproduced 12/12 in the clean container at d3a15fb. No specialist review has been done; none is needed until a patent or publication claim is considered.</t>
  </si>
  <si>
    <t>docs/architecture.md; docs/architecture-claims.json; docs/media/walkthrough.webm; docs/media/walkthrough-steps.json; evidence/tb049-walkthrough.json; evidence/tb049-cli-transcript.txt; scripts/walkthrough.py; scripts/record-walkthrough.mjs; tests/research/test_walkthrough.py</t>
  </si>
  <si>
    <t>Done 2026-10-18. docs/architecture.md: Mermaid trust-boundary diagram and component map; a benign run, a blocked attack beside its undefended pair, a failure trace and a release-gate example, each explained with its evidence (site link, raw record pointer, verdict codes, attribution); every number from stored artifacts (80 claims, ledger). Examples chosen from recorded runs by fixed rules (scripts/walkthrough.py), not staged: the frozen system on the development split (the store holds no holdout run). Release-gate example run for real: unmodified PASS, injected regression (resource check removed) FAIL with security regressions and a more permissive policy trail. Live site: demo redeployed at the current commit; every mode run from the CLI against the public URL (instant, project key, own key) and a report downloaded (evidence/tb049-cli-transcript.txt, no key recorded); video docs/media/walkthrough.webm (2:26, captions) of the site: run pages, policy page, an instant run with report download, the own-key form (not filled), a live run on the project key, the CLI tab. Defect found and fixed: instant runs with every scripted case failed (duplicate repeatability units); fix in src/evaluation/repeats.py with tests, registered results unchanged, demo redeployed. Limits stated: recorded from the host over the tailnet route; own-key mode used the project's key standing in for a visitor's. Reproduced 12/12 in the clean container at 9b85719.</t>
  </si>
  <si>
    <t>README.md; .env.example; scripts/check-readme.py; evidence/tb050-readme-check.json; tests/research/test_readme.py; web/src/pages/Live.tsx; deploy/watchdog.sh; docs/deployment-runbook.md</t>
  </si>
  <si>
    <t>Done 2026-10-18. README rewritten for a fresh user: the live site in every mode (GUI, and trustbench remote with the project key or your own free-tier key read from an environment variable), install with the minimum tested environments only (macOS 27.2 Apple silicon, Debian 12 arm64 container, Ubuntu 24.04 CI), storage-root export, the four offline checks with their expected output, API keys per provider with the dry run and the no-key message, budget controls (per-run budget files, profiles, live-service limits), and a troubleshooting table with recovery steps. .env.example no longer carries machine paths. Acceptance check (scripts/check-readme.py --fresh): a non-root user in a clean Debian container with only git, Node 26.5.0, npm 12.0.0 and uv cloned the repository from GitHub, ran the Install block and the checks exactly as written: install ok, all four checks exit 0 with the documented output, dry run names the key, a live run without a key stops with the documented message (evidence/tb050-readme-check.json, README hash pinned). Static check (in verify): every path, npm script, CLI command and flag, key variable, model and limit in the README exists or matches the configs. Found and fixed along the way: the site's HTTP example failed (runs need a session) and its local command lacked the storage root (site redeployed); the CLI's missing-key check ignored TRUSTBENCH_NO_DOTENV; and the public demo had been unreachable from outside since 2026-10-17 20:40 UTC because Tailscale withdrew the Funnel DNS record: restored (confirmed from GitHub) and the watchdog now checks public DNS and repairs it. Reproduced 12/12 in the clean container at c2dac5f.</t>
  </si>
  <si>
    <t>Done 2026-10-18. Decision RELEASE for candidate 7518c85 (tag release-tb051, GitHub release): all ten required checks passed on that one commit (release/checks.json): CI Tier 1 and full verify; the Tier 2 live gate PASS (unsafe 63.0% -&gt; 0.0%, -63.0 pp [-81.5, -44.4], 27 pairs; utility +4.8 pp, 21 pairs; development data); a fresh clone from GitHub with the locked install, pinned AgentDojo data and full npm run verify with no local keys; the offline reproduction in a clean container (12/12); the README followed by a fresh non-root user; the demo rebuilt from the committed files and healthy; the public site end to end from GitHub's runners (every mode from API, CLI and Chrome, report download, own-key form; 20 API checks); a real own-key run from the CLI with no key in the output; no-key paths on staging (instant, spent shared budget, 23/23); every documentation link and the report, claim, README and reproduction checks. Three earlier candidates were not released and are recorded with their reasons (release/superseded-*.json): a link check that missed autolinks, scripted traces that varied under CPU load (queue.reason mislabel, fixed), and a fresh-clone failure at test:tool-service (missing .tool-state, fixed); their stopped or passed Tier 2 attempts are in the gate ledger. Scope stated: not a full replication (sealed holdouts not rerun; live runs small and sampled).</t>
  </si>
  <si>
    <t>portfolio/bullets.md; portfolio/bullets-claims.json; portfolio/bullets.template.md; scripts/build-report.py; scripts/check-claims.py; tests/research/test_bullets.py</t>
  </si>
  <si>
    <t>Done 2026-10-18. portfolio/bullets.md: six problem/action/result bullets (paired benchmark result on the sealed holdouts, evaluation integrity and the label audit, same-harness defense comparison, release gates and drills, offline reproducibility, the live site), using only statements allowed by research/claims.md with their qualifiers (holdout-1 not separated, one free model, static attacks, permissive baseline backend, AI reviewers only, re-implementations, development data). Acceptance: all 27 numbers are read from stored runs and reports by scripts/build-report.py and listed in the document's claim-to-evidence table with source file and path (ledger portfolio/bullets-claims.json); tests check every number on every line is covered by a claim and every table row resolves; scripts/check-claims.py (in verify) requires every number under portfolio/ to come from a claim ledger and rejects ranking, percentile and hiring phrases. Unknowns omitted and listed under Not included (provenance layer as cause, adaptive attackers, generalisation, guarantees). Reproduced 12/12 in the clean container at 5ad0835.</t>
  </si>
  <si>
    <t>release/tb051-checks.json; release/README.md; release/superseded-d60a4c8.json; release/superseded-75e4e3d.json; release/superseded-b3164e5.json; scripts/release-check.py; configs/release-checks.yaml; tests/release/test_release_check.py; evidence/release-gate-release-7518c85bee62-attempt-1.json; evidence/release-gate-ledger.json</t>
  </si>
  <si>
    <t>Not released yet. Candidates f90ffea and a6c758e superseded (release/README.md): f90ffea failed from a CLI expired-session bug (fixed in src/cli.py) and a dispatch that tested another commit (release-check.py fixed); its Tier 2 attempt was interrupted at 35/48 pairs with no result. a6c758e missed one regenerated file. Candidate 2f6b610: the six offline checks pass (CI Tier 1, links, README fresh, offline reproduction, fresh clone verify, demo rebuilt). Next: with approval, the live checks (own key, no-key staging, external site, Tier 2 gate, one attempt), then decide, tag v1.0.0, build, publish only after approval, verify downloads and quickstart.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</si>
</sst>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60" activePane="bottomRight" state="frozen"/>
      <selection pane="topRight"/>
      <selection pane="bottomLeft"/>
      <selection pane="bottomRight" activeCell="J60" sqref="J60"/>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52</v>
      </c>
      <c r="C5" s="6">
        <f>IF(A5=0,0,B5/A5)</f>
        <v>0.72222222222222221</v>
      </c>
      <c r="D5" s="5">
        <f>COUNTIFS($D$12:$D$83,"Blocked")</f>
        <v>0</v>
      </c>
      <c r="E5" s="5">
        <f>SUM($H$12:$H$83)</f>
        <v>357</v>
      </c>
      <c r="F5" s="5">
        <f>SUMIFS($H$12:$H$83,$D$12:$D$83,"&lt;&gt;Completed")</f>
        <v>128</v>
      </c>
      <c r="G5" s="6">
        <f>COUNTIFS($Q$12:$Q$83,"Core",$D$12:$D$83,"Completed")/COUNTIFS($Q$12:$Q$83,"Core")</f>
        <v>0.96296296296296291</v>
      </c>
      <c r="H5" s="7">
        <f>IF(B7&gt;0,SUMIFS($H$12:$H$83,$Q$12:$Q$83,"Core",$D$12:$D$83,"&lt;&gt;Completed")/B7,"Set hours/week")</f>
        <v>0.33333333333333331</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1</v>
      </c>
      <c r="E55" s="10" t="s">
        <v>413</v>
      </c>
      <c r="F55" s="10"/>
      <c r="G55" s="10" t="str">
        <f t="shared" si="2"/>
        <v>Done</v>
      </c>
      <c r="H55" s="18">
        <v>5</v>
      </c>
      <c r="I55" s="14"/>
      <c r="J55" s="16"/>
      <c r="K55" s="10" t="s">
        <v>424</v>
      </c>
      <c r="L55" s="10" t="s">
        <v>425</v>
      </c>
      <c r="M55" s="10" t="s">
        <v>426</v>
      </c>
      <c r="N55" s="10" t="s">
        <v>427</v>
      </c>
      <c r="O55" s="10" t="s">
        <v>428</v>
      </c>
      <c r="P55" s="10" t="s">
        <v>429</v>
      </c>
      <c r="Q55" s="10" t="s">
        <v>43</v>
      </c>
      <c r="R55" s="10"/>
      <c r="S55" s="14" t="s">
        <v>895</v>
      </c>
      <c r="T55" s="14" t="s">
        <v>896</v>
      </c>
      <c r="U55" s="10">
        <f t="shared" si="3"/>
        <v>1</v>
      </c>
    </row>
    <row r="56" spans="1:21" ht="64" customHeight="1">
      <c r="A56" s="11" t="s">
        <v>430</v>
      </c>
      <c r="B56" s="11" t="s">
        <v>414</v>
      </c>
      <c r="C56" s="11" t="s">
        <v>431</v>
      </c>
      <c r="D56" s="14" t="s">
        <v>1</v>
      </c>
      <c r="E56" s="11" t="s">
        <v>422</v>
      </c>
      <c r="F56" s="11"/>
      <c r="G56" s="11" t="str">
        <f t="shared" si="2"/>
        <v>Done</v>
      </c>
      <c r="H56" s="18">
        <v>4</v>
      </c>
      <c r="I56" s="14"/>
      <c r="J56" s="16"/>
      <c r="K56" s="11" t="s">
        <v>432</v>
      </c>
      <c r="L56" s="11" t="s">
        <v>433</v>
      </c>
      <c r="M56" s="11" t="s">
        <v>434</v>
      </c>
      <c r="N56" s="11" t="s">
        <v>435</v>
      </c>
      <c r="O56" s="11" t="s">
        <v>436</v>
      </c>
      <c r="P56" s="11" t="s">
        <v>437</v>
      </c>
      <c r="Q56" s="11" t="s">
        <v>43</v>
      </c>
      <c r="R56" s="11"/>
      <c r="S56" s="14" t="s">
        <v>898</v>
      </c>
      <c r="T56" s="14" t="s">
        <v>897</v>
      </c>
      <c r="U56" s="10">
        <f t="shared" si="3"/>
        <v>1</v>
      </c>
    </row>
    <row r="57" spans="1:21" ht="64" customHeight="1">
      <c r="A57" s="10" t="s">
        <v>438</v>
      </c>
      <c r="B57" s="10" t="s">
        <v>414</v>
      </c>
      <c r="C57" s="10" t="s">
        <v>439</v>
      </c>
      <c r="D57" s="14" t="s">
        <v>1</v>
      </c>
      <c r="E57" s="10" t="s">
        <v>430</v>
      </c>
      <c r="F57" s="10"/>
      <c r="G57" s="10" t="str">
        <f t="shared" si="2"/>
        <v>Done</v>
      </c>
      <c r="H57" s="18">
        <v>4</v>
      </c>
      <c r="I57" s="14"/>
      <c r="J57" s="16"/>
      <c r="K57" s="10" t="s">
        <v>440</v>
      </c>
      <c r="L57" s="10" t="s">
        <v>441</v>
      </c>
      <c r="M57" s="10" t="s">
        <v>442</v>
      </c>
      <c r="N57" s="10" t="s">
        <v>443</v>
      </c>
      <c r="O57" s="10" t="s">
        <v>444</v>
      </c>
      <c r="P57" s="10" t="s">
        <v>445</v>
      </c>
      <c r="Q57" s="10" t="s">
        <v>43</v>
      </c>
      <c r="R57" s="10"/>
      <c r="S57" s="14" t="s">
        <v>899</v>
      </c>
      <c r="T57" s="14" t="s">
        <v>900</v>
      </c>
      <c r="U57" s="10">
        <f t="shared" si="3"/>
        <v>1</v>
      </c>
    </row>
    <row r="58" spans="1:21" ht="64" customHeight="1">
      <c r="A58" s="11" t="s">
        <v>446</v>
      </c>
      <c r="B58" s="11" t="s">
        <v>414</v>
      </c>
      <c r="C58" s="11" t="s">
        <v>447</v>
      </c>
      <c r="D58" s="14" t="s">
        <v>1</v>
      </c>
      <c r="E58" s="11" t="s">
        <v>438</v>
      </c>
      <c r="F58" s="11"/>
      <c r="G58" s="11" t="str">
        <f t="shared" si="2"/>
        <v>Done</v>
      </c>
      <c r="H58" s="18">
        <v>5</v>
      </c>
      <c r="I58" s="14"/>
      <c r="J58" s="16"/>
      <c r="K58" s="11" t="s">
        <v>448</v>
      </c>
      <c r="L58" s="11" t="s">
        <v>449</v>
      </c>
      <c r="M58" s="11" t="s">
        <v>450</v>
      </c>
      <c r="N58" s="11" t="s">
        <v>451</v>
      </c>
      <c r="O58" s="11" t="s">
        <v>452</v>
      </c>
      <c r="P58" s="11" t="s">
        <v>453</v>
      </c>
      <c r="Q58" s="11" t="s">
        <v>43</v>
      </c>
      <c r="R58" s="11"/>
      <c r="S58" s="14" t="s">
        <v>901</v>
      </c>
      <c r="T58" s="14" t="s">
        <v>902</v>
      </c>
      <c r="U58" s="10">
        <f t="shared" si="3"/>
        <v>1</v>
      </c>
    </row>
    <row r="59" spans="1:21" ht="64" customHeight="1">
      <c r="A59" s="10" t="s">
        <v>454</v>
      </c>
      <c r="B59" s="10" t="s">
        <v>414</v>
      </c>
      <c r="C59" s="10" t="s">
        <v>455</v>
      </c>
      <c r="D59" s="14" t="s">
        <v>1</v>
      </c>
      <c r="E59" s="10" t="s">
        <v>446</v>
      </c>
      <c r="F59" s="10"/>
      <c r="G59" s="10" t="str">
        <f t="shared" si="2"/>
        <v>Done</v>
      </c>
      <c r="H59" s="18">
        <v>3</v>
      </c>
      <c r="I59" s="14"/>
      <c r="J59" s="16"/>
      <c r="K59" s="10" t="s">
        <v>456</v>
      </c>
      <c r="L59" s="10" t="s">
        <v>457</v>
      </c>
      <c r="M59" s="10" t="s">
        <v>458</v>
      </c>
      <c r="N59" s="10" t="s">
        <v>459</v>
      </c>
      <c r="O59" s="10" t="s">
        <v>460</v>
      </c>
      <c r="P59" s="10" t="s">
        <v>461</v>
      </c>
      <c r="Q59" s="10" t="s">
        <v>43</v>
      </c>
      <c r="R59" s="10"/>
      <c r="S59" s="14" t="s">
        <v>903</v>
      </c>
      <c r="T59" s="14" t="s">
        <v>904</v>
      </c>
      <c r="U59" s="10">
        <f t="shared" si="3"/>
        <v>1</v>
      </c>
    </row>
    <row r="60" spans="1:21" ht="64" customHeight="1">
      <c r="A60" s="12" t="s">
        <v>462</v>
      </c>
      <c r="B60" s="12" t="s">
        <v>463</v>
      </c>
      <c r="C60" s="12" t="s">
        <v>464</v>
      </c>
      <c r="D60" s="13" t="s">
        <v>1</v>
      </c>
      <c r="E60" s="12" t="s">
        <v>405</v>
      </c>
      <c r="F60" s="12" t="s">
        <v>454</v>
      </c>
      <c r="G60" s="12" t="str">
        <f t="shared" si="2"/>
        <v>Done</v>
      </c>
      <c r="H60" s="17">
        <v>3</v>
      </c>
      <c r="I60" s="13"/>
      <c r="J60" s="15"/>
      <c r="K60" s="12" t="s">
        <v>874</v>
      </c>
      <c r="L60" s="12" t="s">
        <v>465</v>
      </c>
      <c r="M60" s="12" t="s">
        <v>466</v>
      </c>
      <c r="N60" s="12" t="s">
        <v>467</v>
      </c>
      <c r="O60" s="12" t="s">
        <v>468</v>
      </c>
      <c r="P60" s="12" t="s">
        <v>469</v>
      </c>
      <c r="Q60" s="12" t="s">
        <v>43</v>
      </c>
      <c r="R60" s="12"/>
      <c r="S60" s="13" t="s">
        <v>905</v>
      </c>
      <c r="T60" s="13" t="s">
        <v>906</v>
      </c>
      <c r="U60" s="10">
        <f t="shared" si="3"/>
        <v>1</v>
      </c>
    </row>
    <row r="61" spans="1:21" ht="64" customHeight="1">
      <c r="A61" s="10" t="s">
        <v>470</v>
      </c>
      <c r="B61" s="10" t="s">
        <v>463</v>
      </c>
      <c r="C61" s="10" t="s">
        <v>471</v>
      </c>
      <c r="D61" s="14" t="s">
        <v>1</v>
      </c>
      <c r="E61" s="10" t="s">
        <v>462</v>
      </c>
      <c r="F61" s="10"/>
      <c r="G61" s="10" t="str">
        <f t="shared" si="2"/>
        <v>Done</v>
      </c>
      <c r="H61" s="18">
        <v>3</v>
      </c>
      <c r="I61" s="14"/>
      <c r="J61" s="16"/>
      <c r="K61" s="10" t="s">
        <v>875</v>
      </c>
      <c r="L61" s="10" t="s">
        <v>472</v>
      </c>
      <c r="M61" s="10" t="s">
        <v>473</v>
      </c>
      <c r="N61" s="10" t="s">
        <v>474</v>
      </c>
      <c r="O61" s="10" t="s">
        <v>475</v>
      </c>
      <c r="P61" s="10" t="s">
        <v>476</v>
      </c>
      <c r="Q61" s="10" t="s">
        <v>43</v>
      </c>
      <c r="R61" s="10"/>
      <c r="S61" s="14" t="s">
        <v>907</v>
      </c>
      <c r="T61" s="14" t="s">
        <v>908</v>
      </c>
      <c r="U61" s="10">
        <f t="shared" si="3"/>
        <v>1</v>
      </c>
    </row>
    <row r="62" spans="1:21" ht="64" customHeight="1">
      <c r="A62" s="11" t="s">
        <v>477</v>
      </c>
      <c r="B62" s="11" t="s">
        <v>463</v>
      </c>
      <c r="C62" s="11" t="s">
        <v>478</v>
      </c>
      <c r="D62" s="14" t="s">
        <v>1</v>
      </c>
      <c r="E62" s="11" t="s">
        <v>470</v>
      </c>
      <c r="F62" s="11"/>
      <c r="G62" s="11" t="str">
        <f t="shared" si="2"/>
        <v>Done</v>
      </c>
      <c r="H62" s="18">
        <v>4</v>
      </c>
      <c r="I62" s="14"/>
      <c r="J62" s="16"/>
      <c r="K62" s="11" t="s">
        <v>876</v>
      </c>
      <c r="L62" s="11" t="s">
        <v>479</v>
      </c>
      <c r="M62" s="11" t="s">
        <v>480</v>
      </c>
      <c r="N62" s="11" t="s">
        <v>481</v>
      </c>
      <c r="O62" s="11" t="s">
        <v>482</v>
      </c>
      <c r="P62" s="11" t="s">
        <v>483</v>
      </c>
      <c r="Q62" s="11" t="s">
        <v>43</v>
      </c>
      <c r="R62" s="11"/>
      <c r="S62" s="14" t="s">
        <v>912</v>
      </c>
      <c r="T62" s="14" t="s">
        <v>909</v>
      </c>
      <c r="U62" s="10">
        <f t="shared" si="3"/>
        <v>1</v>
      </c>
    </row>
    <row r="63" spans="1:21" ht="64" customHeight="1">
      <c r="A63" s="10" t="s">
        <v>484</v>
      </c>
      <c r="B63" s="10" t="s">
        <v>463</v>
      </c>
      <c r="C63" s="10" t="s">
        <v>485</v>
      </c>
      <c r="D63" s="14" t="s">
        <v>1</v>
      </c>
      <c r="E63" s="10" t="s">
        <v>477</v>
      </c>
      <c r="F63" s="10"/>
      <c r="G63" s="10" t="str">
        <f t="shared" si="2"/>
        <v>Done</v>
      </c>
      <c r="H63" s="18">
        <v>2</v>
      </c>
      <c r="I63" s="14"/>
      <c r="J63" s="16"/>
      <c r="K63" s="10" t="s">
        <v>486</v>
      </c>
      <c r="L63" s="10" t="s">
        <v>487</v>
      </c>
      <c r="M63" s="10" t="s">
        <v>488</v>
      </c>
      <c r="N63" s="10" t="s">
        <v>489</v>
      </c>
      <c r="O63" s="10" t="s">
        <v>490</v>
      </c>
      <c r="P63" s="10" t="s">
        <v>491</v>
      </c>
      <c r="Q63" s="10" t="s">
        <v>43</v>
      </c>
      <c r="R63" s="10"/>
      <c r="S63" s="14" t="s">
        <v>910</v>
      </c>
      <c r="T63" s="14" t="s">
        <v>911</v>
      </c>
      <c r="U63" s="10">
        <f t="shared" si="3"/>
        <v>1</v>
      </c>
    </row>
    <row r="64" spans="1:21" ht="64" customHeight="1">
      <c r="A64" s="11" t="s">
        <v>492</v>
      </c>
      <c r="B64" s="11" t="s">
        <v>463</v>
      </c>
      <c r="C64" s="11" t="s">
        <v>493</v>
      </c>
      <c r="D64" s="14" t="s">
        <v>558</v>
      </c>
      <c r="E64" s="11" t="s">
        <v>484</v>
      </c>
      <c r="F64" s="11"/>
      <c r="G64" s="11" t="str">
        <f t="shared" si="2"/>
        <v>In Progress</v>
      </c>
      <c r="H64" s="18">
        <v>2</v>
      </c>
      <c r="I64" s="14"/>
      <c r="J64" s="16"/>
      <c r="K64" s="11" t="s">
        <v>494</v>
      </c>
      <c r="L64" s="11" t="s">
        <v>495</v>
      </c>
      <c r="M64" s="11" t="s">
        <v>496</v>
      </c>
      <c r="N64" s="11" t="s">
        <v>497</v>
      </c>
      <c r="O64" s="11" t="s">
        <v>498</v>
      </c>
      <c r="P64" s="11" t="s">
        <v>499</v>
      </c>
      <c r="Q64" s="11" t="s">
        <v>43</v>
      </c>
      <c r="R64" s="11"/>
      <c r="S64" s="14"/>
      <c r="T64" s="14" t="s">
        <v>913</v>
      </c>
      <c r="U64" s="10">
        <f t="shared" si="3"/>
        <v>0</v>
      </c>
    </row>
    <row r="65" spans="1:21" ht="64" customHeight="1">
      <c r="A65" s="10" t="s">
        <v>500</v>
      </c>
      <c r="B65" s="10" t="s">
        <v>463</v>
      </c>
      <c r="C65" s="10" t="s">
        <v>501</v>
      </c>
      <c r="D65" s="14" t="s">
        <v>288</v>
      </c>
      <c r="E65" s="10" t="s">
        <v>492</v>
      </c>
      <c r="F65" s="10"/>
      <c r="G65" s="10" t="str">
        <f t="shared" si="2"/>
        <v>Waiting</v>
      </c>
      <c r="H65" s="18">
        <v>2</v>
      </c>
      <c r="I65" s="14"/>
      <c r="J65" s="16"/>
      <c r="K65" s="10" t="s">
        <v>502</v>
      </c>
      <c r="L65" s="10" t="s">
        <v>503</v>
      </c>
      <c r="M65" s="10" t="s">
        <v>504</v>
      </c>
      <c r="N65" s="10" t="s">
        <v>505</v>
      </c>
      <c r="O65" s="10" t="s">
        <v>506</v>
      </c>
      <c r="P65" s="10" t="s">
        <v>507</v>
      </c>
      <c r="Q65" s="10" t="s">
        <v>43</v>
      </c>
      <c r="R65" s="10"/>
      <c r="S65" s="14"/>
      <c r="T65" s="14"/>
      <c r="U65" s="10">
        <f t="shared" si="3"/>
        <v>0</v>
      </c>
    </row>
    <row r="66" spans="1:21" ht="64" customHeight="1">
      <c r="A66" s="10" t="s">
        <v>508</v>
      </c>
      <c r="B66" s="10" t="s">
        <v>754</v>
      </c>
      <c r="C66" s="10" t="s">
        <v>755</v>
      </c>
      <c r="D66" s="14" t="s">
        <v>288</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756</v>
      </c>
      <c r="L66" s="10" t="s">
        <v>757</v>
      </c>
      <c r="M66" s="10" t="s">
        <v>758</v>
      </c>
      <c r="N66" s="10" t="s">
        <v>759</v>
      </c>
      <c r="O66" s="10" t="s">
        <v>760</v>
      </c>
      <c r="P66" s="10" t="s">
        <v>761</v>
      </c>
      <c r="Q66" s="10" t="s">
        <v>762</v>
      </c>
      <c r="R66" s="10" t="s">
        <v>100</v>
      </c>
      <c r="S66" s="14"/>
      <c r="T66" s="14"/>
      <c r="U66" s="10">
        <f t="shared" ref="U66:U77" si="5">IF(LEN(S66)&gt;0,1,0)</f>
        <v>0</v>
      </c>
    </row>
    <row r="67" spans="1:21" ht="64" customHeight="1">
      <c r="A67" s="10" t="s">
        <v>517</v>
      </c>
      <c r="B67" s="10" t="s">
        <v>754</v>
      </c>
      <c r="C67" s="10" t="s">
        <v>764</v>
      </c>
      <c r="D67" s="14" t="s">
        <v>288</v>
      </c>
      <c r="E67" s="10" t="s">
        <v>508</v>
      </c>
      <c r="F67" s="10" t="s">
        <v>45</v>
      </c>
      <c r="G67" s="10" t="str">
        <f t="shared" si="4"/>
        <v>Waiting</v>
      </c>
      <c r="H67" s="18">
        <v>4</v>
      </c>
      <c r="I67" s="14"/>
      <c r="J67" s="16"/>
      <c r="K67" s="10" t="s">
        <v>765</v>
      </c>
      <c r="L67" s="10" t="s">
        <v>766</v>
      </c>
      <c r="M67" s="10" t="s">
        <v>767</v>
      </c>
      <c r="N67" s="10" t="s">
        <v>768</v>
      </c>
      <c r="O67" s="10" t="s">
        <v>769</v>
      </c>
      <c r="P67" s="10" t="s">
        <v>770</v>
      </c>
      <c r="Q67" s="10" t="s">
        <v>762</v>
      </c>
      <c r="R67" s="10" t="s">
        <v>771</v>
      </c>
      <c r="S67" s="14"/>
      <c r="T67" s="14"/>
      <c r="U67" s="10">
        <f t="shared" si="5"/>
        <v>0</v>
      </c>
    </row>
    <row r="68" spans="1:21" ht="64" customHeight="1">
      <c r="A68" s="10" t="s">
        <v>525</v>
      </c>
      <c r="B68" s="10" t="s">
        <v>754</v>
      </c>
      <c r="C68" s="10" t="s">
        <v>841</v>
      </c>
      <c r="D68" s="14" t="s">
        <v>288</v>
      </c>
      <c r="E68" s="10" t="s">
        <v>517</v>
      </c>
      <c r="F68" s="10" t="s">
        <v>255</v>
      </c>
      <c r="G68" s="10" t="str">
        <f t="shared" si="4"/>
        <v>Waiting</v>
      </c>
      <c r="H68" s="18">
        <v>12</v>
      </c>
      <c r="I68" s="14"/>
      <c r="J68" s="16"/>
      <c r="K68" s="10" t="s">
        <v>877</v>
      </c>
      <c r="L68" s="10" t="s">
        <v>842</v>
      </c>
      <c r="M68" s="10" t="s">
        <v>843</v>
      </c>
      <c r="N68" s="10" t="s">
        <v>878</v>
      </c>
      <c r="O68" s="10" t="s">
        <v>844</v>
      </c>
      <c r="P68" s="10" t="s">
        <v>845</v>
      </c>
      <c r="Q68" s="10" t="s">
        <v>762</v>
      </c>
      <c r="R68" s="10" t="s">
        <v>100</v>
      </c>
      <c r="S68" s="14"/>
      <c r="T68" s="14"/>
      <c r="U68" s="10">
        <f t="shared" si="5"/>
        <v>0</v>
      </c>
    </row>
    <row r="69" spans="1:21" ht="64" customHeight="1">
      <c r="A69" s="10" t="s">
        <v>533</v>
      </c>
      <c r="B69" s="10" t="s">
        <v>754</v>
      </c>
      <c r="C69" s="10" t="s">
        <v>774</v>
      </c>
      <c r="D69" s="14" t="s">
        <v>288</v>
      </c>
      <c r="E69" s="10" t="s">
        <v>525</v>
      </c>
      <c r="F69" s="10" t="s">
        <v>225</v>
      </c>
      <c r="G69" s="10" t="str">
        <f t="shared" si="4"/>
        <v>Waiting</v>
      </c>
      <c r="H69" s="18">
        <v>6</v>
      </c>
      <c r="I69" s="14"/>
      <c r="J69" s="16"/>
      <c r="K69" s="10" t="s">
        <v>846</v>
      </c>
      <c r="L69" s="10" t="s">
        <v>775</v>
      </c>
      <c r="M69" s="10" t="s">
        <v>776</v>
      </c>
      <c r="N69" s="10" t="s">
        <v>847</v>
      </c>
      <c r="O69" s="10" t="s">
        <v>777</v>
      </c>
      <c r="P69" s="10" t="s">
        <v>778</v>
      </c>
      <c r="Q69" s="10" t="s">
        <v>762</v>
      </c>
      <c r="R69" s="10" t="s">
        <v>223</v>
      </c>
      <c r="S69" s="14"/>
      <c r="T69" s="14"/>
      <c r="U69" s="10">
        <f t="shared" si="5"/>
        <v>0</v>
      </c>
    </row>
    <row r="70" spans="1:21" ht="64" customHeight="1">
      <c r="A70" s="10" t="s">
        <v>541</v>
      </c>
      <c r="B70" s="10" t="s">
        <v>754</v>
      </c>
      <c r="C70" s="10" t="s">
        <v>780</v>
      </c>
      <c r="D70" s="14" t="s">
        <v>288</v>
      </c>
      <c r="E70" s="10" t="s">
        <v>525</v>
      </c>
      <c r="F70" s="10" t="s">
        <v>138</v>
      </c>
      <c r="G70" s="10" t="str">
        <f t="shared" si="4"/>
        <v>Waiting</v>
      </c>
      <c r="H70" s="18">
        <v>5</v>
      </c>
      <c r="I70" s="14"/>
      <c r="J70" s="16"/>
      <c r="K70" s="10" t="s">
        <v>781</v>
      </c>
      <c r="L70" s="10" t="s">
        <v>782</v>
      </c>
      <c r="M70" s="10" t="s">
        <v>783</v>
      </c>
      <c r="N70" s="10" t="s">
        <v>784</v>
      </c>
      <c r="O70" s="10" t="s">
        <v>785</v>
      </c>
      <c r="P70" s="10" t="s">
        <v>786</v>
      </c>
      <c r="Q70" s="10" t="s">
        <v>762</v>
      </c>
      <c r="R70" s="10" t="s">
        <v>100</v>
      </c>
      <c r="S70" s="14"/>
      <c r="T70" s="14"/>
      <c r="U70" s="10">
        <f t="shared" si="5"/>
        <v>0</v>
      </c>
    </row>
    <row r="71" spans="1:21" ht="64" customHeight="1">
      <c r="A71" s="10" t="s">
        <v>549</v>
      </c>
      <c r="B71" s="10" t="s">
        <v>754</v>
      </c>
      <c r="C71" s="10" t="s">
        <v>788</v>
      </c>
      <c r="D71" s="14" t="s">
        <v>288</v>
      </c>
      <c r="E71" s="10" t="s">
        <v>533</v>
      </c>
      <c r="F71" s="10" t="s">
        <v>541</v>
      </c>
      <c r="G71" s="10" t="str">
        <f t="shared" si="4"/>
        <v>Waiting</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6</v>
      </c>
      <c r="D98" s="10">
        <f t="shared" si="8"/>
        <v>0</v>
      </c>
      <c r="E98" s="10">
        <f t="shared" si="9"/>
        <v>0</v>
      </c>
      <c r="F98" s="10">
        <f t="shared" si="10"/>
        <v>0</v>
      </c>
      <c r="G98" s="21">
        <f t="shared" si="11"/>
        <v>1</v>
      </c>
      <c r="H98" s="10">
        <f t="shared" si="12"/>
        <v>25</v>
      </c>
      <c r="I98" s="10">
        <f t="shared" si="13"/>
        <v>0</v>
      </c>
      <c r="J98" s="10">
        <f t="shared" si="14"/>
        <v>0</v>
      </c>
      <c r="K98" s="1"/>
      <c r="L98" s="1"/>
      <c r="M98" s="1"/>
      <c r="N98" s="1"/>
      <c r="O98" s="1"/>
      <c r="P98" s="1"/>
      <c r="Q98" s="1"/>
      <c r="R98" s="1"/>
      <c r="S98" s="1"/>
      <c r="T98" s="1"/>
      <c r="U98" s="1"/>
    </row>
    <row r="99" spans="1:21" ht="38" customHeight="1">
      <c r="A99" s="11" t="s">
        <v>463</v>
      </c>
      <c r="B99" s="11">
        <f t="shared" si="6"/>
        <v>6</v>
      </c>
      <c r="C99" s="11">
        <f t="shared" si="7"/>
        <v>4</v>
      </c>
      <c r="D99" s="11">
        <f t="shared" si="8"/>
        <v>1</v>
      </c>
      <c r="E99" s="11">
        <f t="shared" si="9"/>
        <v>1</v>
      </c>
      <c r="F99" s="11">
        <f t="shared" si="10"/>
        <v>0</v>
      </c>
      <c r="G99" s="20">
        <f t="shared" si="11"/>
        <v>0.66666666666666663</v>
      </c>
      <c r="H99" s="11">
        <f t="shared" si="12"/>
        <v>16</v>
      </c>
      <c r="I99" s="11">
        <f t="shared" si="13"/>
        <v>4</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2026-10-19T13:13:43Z</dcterms:modified>
</cp:coreProperties>
</file>