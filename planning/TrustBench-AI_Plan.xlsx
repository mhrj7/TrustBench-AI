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4C93119A-2588-EE4A-8B45-D042109B9DDB}" xr6:coauthVersionLast="47" xr6:coauthVersionMax="47" xr10:uidLastSave="{00000000-0000-0000-0000-000000000000}"/>
  <bookViews>
    <workbookView xWindow="0" yWindow="62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60" i="1" l="1"/>
  <c r="G48" i="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<sst xmlns="http://schemas.openxmlformats.org/spreadsheetml/2006/main" count="1257" uniqueCount="913">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</sst>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60" activePane="bottomRight" state="frozen"/>
      <selection pane="topRight"/>
      <selection pane="bottomLeft"/>
      <selection pane="bottomRight" activeCell="J60" sqref="J60"/>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52</v>
      </c>
      <c r="C5" s="6">
        <f>IF(A5=0,0,B5/A5)</f>
        <v>0.72222222222222221</v>
      </c>
      <c r="D5" s="5">
        <f>COUNTIFS($D$12:$D$83,"Blocked")</f>
        <v>0</v>
      </c>
      <c r="E5" s="5">
        <f>SUM($H$12:$H$83)</f>
        <v>357</v>
      </c>
      <c r="F5" s="5">
        <f>SUMIFS($H$12:$H$83,$D$12:$D$83,"&lt;&gt;Completed")</f>
        <v>128</v>
      </c>
      <c r="G5" s="6">
        <f>COUNTIFS($Q$12:$Q$83,"Core",$D$12:$D$83,"Completed")/COUNTIFS($Q$12:$Q$83,"Core")</f>
        <v>0.96296296296296291</v>
      </c>
      <c r="H5" s="7">
        <f>IF(B7&gt;0,SUMIFS($H$12:$H$83,$Q$12:$Q$83,"Core",$D$12:$D$83,"&lt;&gt;Completed")/B7,"Set hours/week")</f>
        <v>0.33333333333333331</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288</v>
      </c>
      <c r="E64" s="11" t="s">
        <v>484</v>
      </c>
      <c r="F64" s="11"/>
      <c r="G64" s="11" t="str">
        <f t="shared" si="2"/>
        <v>Ready</v>
      </c>
      <c r="H64" s="18">
        <v>2</v>
      </c>
      <c r="I64" s="14"/>
      <c r="J64" s="16"/>
      <c r="K64" s="11" t="s">
        <v>494</v>
      </c>
      <c r="L64" s="11" t="s">
        <v>495</v>
      </c>
      <c r="M64" s="11" t="s">
        <v>496</v>
      </c>
      <c r="N64" s="11" t="s">
        <v>497</v>
      </c>
      <c r="O64" s="11" t="s">
        <v>498</v>
      </c>
      <c r="P64" s="11" t="s">
        <v>499</v>
      </c>
      <c r="Q64" s="11" t="s">
        <v>43</v>
      </c>
      <c r="R64" s="11"/>
      <c r="S64" s="14"/>
      <c r="T64" s="14"/>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4</v>
      </c>
      <c r="D99" s="11">
        <f t="shared" si="8"/>
        <v>2</v>
      </c>
      <c r="E99" s="11">
        <f t="shared" si="9"/>
        <v>0</v>
      </c>
      <c r="F99" s="11">
        <f t="shared" si="10"/>
        <v>0</v>
      </c>
      <c r="G99" s="20">
        <f t="shared" si="11"/>
        <v>0.66666666666666663</v>
      </c>
      <c r="H99" s="11">
        <f t="shared" si="12"/>
        <v>16</v>
      </c>
      <c r="I99" s="11">
        <f t="shared" si="13"/>
        <v>4</v>
      </c>
      <c r="J99" s="11">
        <f t="shared" si="14"/>
        <v>1</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2026-10-18T14:55:01Z</dcterms:modified>
</cp:coreProperties>
</file>