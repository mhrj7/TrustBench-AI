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E7FD2039-FC56-DD40-875D-ACBFDA5F475B}" xr6:coauthVersionLast="47" xr6:coauthVersionMax="47" xr10:uidLastSave="{00000000-0000-0000-0000-000000000000}"/>
  <bookViews>
    <workbookView minimized="1" xWindow="-21600" yWindow="-7640" windowWidth="21600" windowHeight="3780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67" i="1"/>
  <c r="U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6" i="1" s="1"/>
  <c r="U64" i="1"/>
  <c r="G65" i="1" s="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U12" i="1"/>
  <c r="G14" i="1" s="1"/>
  <c r="G12" i="1"/>
  <c r="I5" i="1"/>
  <c r="H5" i="1"/>
  <c r="G5" i="1"/>
  <c r="F5" i="1"/>
  <c r="E5" i="1"/>
  <c r="D5" i="1"/>
  <c r="B5" i="1"/>
  <c r="A5" i="1"/>
  <c r="G67" i="1" l="1"/>
  <c r="G60" i="1"/>
  <c r="G48" i="1"/>
  <c r="J97" i="1" s="1"/>
  <c r="G46" i="1"/>
  <c r="G43" i="1"/>
  <c r="G100" i="1"/>
  <c r="G72" i="1"/>
  <c r="G73" i="1"/>
  <c r="G74"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<sst xmlns="http://schemas.openxmlformats.org/spreadsheetml/2006/main" count="1277" uniqueCount="930">
  <si>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</si>
  <si>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</si>
  <si>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</si>
  <si>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</si>
  <si>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</si>
  <si>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</si>
  <si>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</si>
  <si>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</si>
  <si>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</si>
  <si>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</si>
  <si>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</si>
  <si>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</si>
  <si>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</si>
  <si>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</si>
  <si>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</si>
  <si>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</si>
  <si>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</si>
  <si>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</si>
  <si>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</si>
  <si>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</si>
  <si>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</si>
  <si>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</si>
  <si>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</si>
  <si>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</si>
  <si>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</si>
  <si>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</si>
  <si>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</si>
  <si>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</si>
  <si>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</si>
  <si>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</si>
  <si>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</si>
  <si>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</si>
  <si>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</si>
  <si>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</si>
  <si>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</si>
  <si>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</si>
  <si>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</si>
  <si>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</si>
  <si>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</si>
  <si>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</si>
  <si>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</si>
  <si>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</si>
  <si>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</si>
  <si>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</si>
  <si>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</si>
  <si>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</si>
  <si>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</si>
  <si>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</si>
  <si>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</si>
  <si>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</si>
  <si>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</si>
  <si>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</si>
  <si>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</si>
  <si>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</si>
  <si>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</si>
  <si>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</si>
  <si>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</si>
  <si>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</si>
  <si>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</si>
  <si>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</si>
  <si>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</si>
  <si>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</si>
  <si>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</si>
  <si>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</si>
  <si>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</si>
  <si>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</si>
  <si>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</si>
  <si>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</si>
  <si>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</si>
  <si>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</si>
  <si>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</si>
  <si>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</si>
  <si>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</si>
  <si>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</si>
  <si>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</si>
  <si>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</si>
  <si>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</si>
  <si>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</si>
  <si>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</si>
  <si>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</si>
  <si>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</si>
  <si>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</si>
  <si>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</si>
  <si>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</si>
  <si>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</si>
  <si>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</si>
  <si>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</si>
  <si>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</si>
  <si>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</si>
  <si>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</si>
  <si>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</si>
  <si>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</si>
  <si>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</si>
  <si>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</si>
  <si>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</si>
  <si>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</si>
  <si>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</si>
  <si>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</si>
  <si>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</si>
  <si>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</si>
  <si>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</si>
  <si>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</si>
  <si>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</si>
  <si>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</si>
  <si>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</si>
  <si>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</si>
  <si>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</si>
  <si>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</si>
  <si>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</si>
  <si>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</si>
  <si>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</si>
  <si>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</si>
  <si>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</si>
  <si>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</si>
  <si>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</si>
  <si>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</si>
  <si>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</si>
  <si>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</si>
  <si>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</si>
  <si>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</si>
  <si>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</si>
  <si>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</si>
  <si>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</si>
  <si>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</si>
  <si>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</si>
  <si>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</si>
  <si>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</si>
  <si>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</si>
  <si>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</si>
  <si>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</si>
  <si>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</si>
  <si>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</si>
  <si>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</si>
  <si>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</si>
  <si>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</si>
  <si>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</si>
  <si>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</si>
  <si>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</si>
  <si>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</si>
  <si>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</si>
  <si>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</si>
  <si>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</si>
  <si>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</si>
  <si>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</si>
  <si>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</si>
  <si>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</si>
  <si>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</si>
  <si>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</si>
  <si>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</si>
  <si>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</si>
  <si>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</si>
  <si>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</si>
  <si>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</si>
  <si>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</si>
  <si>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</si>
  <si>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</si>
  <si>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</si>
  <si>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</si>
  <si>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</si>
  <si>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</si>
  <si>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</si>
  <si>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</si>
  <si>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</si>
  <si>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</si>
  <si>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</si>
  <si>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</si>
  <si>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</si>
  <si>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</si>
  <si>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</si>
  <si>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</si>
  <si>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</si>
  <si>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</si>
  <si>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</si>
  <si>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</si>
  <si>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</si>
  <si>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</si>
  <si>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</si>
  <si>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</si>
  <si>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</si>
  <si>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</si>
  <si>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</si>
  <si>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</si>
  <si>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</si>
  <si>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</si>
  <si>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</si>
  <si>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</si>
  <si>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</si>
  <si>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</si>
  <si>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</si>
  <si>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</si>
  <si>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</si>
  <si>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</si>
  <si>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</si>
  <si>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</si>
  <si>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</si>
  <si>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</si>
  <si>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</si>
  <si>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</si>
  <si>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</si>
  <si>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</si>
  <si>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</si>
  <si>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</si>
  <si>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</si>
  <si>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</si>
  <si>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</si>
  <si>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</si>
  <si>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</si>
  <si>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</si>
  <si>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</si>
  <si>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</si>
  <si>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</si>
  <si>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</si>
  <si>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</si>
  <si>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</si>
  <si>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</si>
  <si>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</si>
  <si>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</si>
  <si>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</si>
  <si>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</si>
  <si>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</si>
  <si>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</si>
  <si>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</si>
  <si>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</si>
  <si>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</si>
  <si>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</si>
  <si>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</si>
  <si>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</si>
  <si>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</si>
  <si>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</si>
  <si>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</si>
  <si>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</si>
  <si>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</si>
  <si>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</si>
  <si>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</si>
  <si>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</si>
  <si>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</si>
  <si>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</si>
  <si>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</si>
  <si>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</si>
  <si>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</si>
  <si>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</si>
  <si>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</si>
  <si>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</si>
  <si>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</si>
  <si>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</si>
  <si>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</si>
  <si>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</si>
  <si>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</si>
  <si>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</si>
  <si>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</si>
  <si>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</si>
  <si>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</si>
  <si>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</si>
  <si>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</si>
  <si>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</si>
  <si>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</si>
  <si>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</si>
  <si>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</si>
  <si>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</si>
  <si>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</si>
  <si>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</si>
  <si>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</si>
  <si>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</si>
  <si>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</si>
  <si>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</si>
  <si>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</si>
  <si>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</si>
  <si>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</si>
  <si>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</si>
  <si>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</si>
  <si>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</si>
  <si>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</si>
  <si>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</si>
  <si>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</si>
  <si>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</si>
  <si>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</si>
  <si>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</si>
  <si>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</si>
  <si>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</si>
  <si>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</si>
  <si>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</si>
  <si>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</si>
  <si>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</si>
  <si>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</si>
  <si>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</si>
  <si>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</si>
  <si>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</si>
  <si>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</si>
  <si>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</si>
  <si>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</si>
  <si>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</si>
  <si>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</si>
  <si>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</si>
  <si>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</si>
  <si>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</si>
  <si>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</si>
  <si>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</si>
  <si>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</si>
  <si>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</si>
  <si>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</si>
  <si>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</si>
  <si>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</si>
  <si>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</si>
  <si>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</si>
  <si>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</si>
  <si>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</si>
  <si>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</si>
  <si>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</si>
  <si>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</si>
  <si>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</si>
  <si>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</si>
  <si>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</si>
  <si>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</si>
  <si>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</si>
  <si>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</si>
  <si>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</si>
  <si>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</si>
  <si>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</si>
  <si>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</si>
  <si>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</si>
  <si>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</si>
  <si>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</si>
  <si>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</si>
  <si>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</si>
  <si>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</si>
  <si>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</si>
  <si>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</si>
  <si>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</si>
  <si>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</si>
  <si>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</si>
  <si>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</si>
  <si>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</si>
  <si>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</si>
  <si>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</si>
  <si>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</si>
  <si>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</si>
  <si>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</si>
  <si>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</si>
  <si>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</si>
  <si>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</si>
  <si>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</si>
  <si>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</si>
  <si>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</si>
  <si>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</si>
  <si>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</si>
  <si>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</si>
  <si>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</si>
  <si>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</si>
  <si>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</si>
  <si>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</si>
  <si>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</si>
  <si>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</si>
  <si>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</si>
  <si>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</si>
  <si>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</si>
  <si>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</si>
  <si>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</si>
  <si>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</si>
  <si>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</si>
  <si>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</si>
  <si>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</si>
  <si>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</si>
  <si>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</si>
  <si>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</si>
  <si>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</si>
  <si>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</si>
  <si>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</si>
  <si>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</si>
  <si>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</si>
  <si>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</si>
  <si>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</si>
  <si>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</si>
  <si>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</si>
  <si>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</si>
  <si>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</si>
  <si>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</si>
  <si>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</si>
  <si>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</si>
  <si>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</si>
  <si>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</si>
  <si>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</si>
  <si>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</si>
  <si>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</si>
  <si>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</si>
  <si>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</si>
  <si>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</si>
  <si>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</si>
  <si>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</si>
  <si>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</si>
  <si>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</si>
  <si>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</si>
  <si>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</si>
  <si>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</si>
  <si>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</si>
  <si>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</si>
  <si>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</si>
  <si>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</si>
  <si>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</si>
  <si>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</si>
  <si>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</si>
  <si>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</si>
  <si>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</si>
  <si>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</si>
  <si>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</si>
  <si>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</si>
  <si>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</si>
  <si>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</si>
  <si>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</si>
  <si>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</si>
  <si>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</si>
  <si>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</si>
  <si>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</si>
  <si>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</si>
  <si>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</si>
  <si>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</si>
  <si>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</si>
  <si>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</si>
  <si>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</si>
  <si>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</si>
  <si>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</si>
  <si>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</si>
  <si>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</si>
  <si>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</si>
  <si>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</si>
  <si>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</si>
  <si>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</si>
  <si>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</si>
  <si>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</si>
  <si>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</si>
  <si>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</si>
  <si>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</si>
  <si>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</si>
  <si>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</si>
  <si>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</si>
  <si>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</si>
  <si>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</si>
  <si>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</si>
  <si>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</si>
  <si>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</si>
  <si>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</si>
  <si>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</si>
  <si>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</si>
  <si>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</si>
  <si>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</si>
  <si>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</si>
  <si>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</si>
  <si>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</si>
  <si>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</si>
  <si>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</si>
  <si>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</si>
  <si>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</si>
  <si>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</si>
  <si>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</si>
  <si>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</si>
  <si>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</si>
  <si>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</si>
  <si>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</si>
  <si>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</si>
  <si>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</si>
  <si>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</si>
  <si>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</si>
  <si>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</si>
  <si>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</si>
  <si>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</si>
  <si>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</si>
  <si>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</si>
  <si>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</si>
  <si>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</si>
  <si>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</si>
  <si>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</si>
  <si>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</si>
  <si>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</si>
  <si>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</si>
  <si>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</si>
  <si>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</si>
  <si>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</si>
  <si>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</si>
  <si>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</si>
  <si>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</si>
  <si>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</si>
  <si>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</si>
  <si>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</si>
  <si>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</si>
  <si>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</si>
  <si>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</si>
  <si>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</si>
  <si>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</si>
  <si>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</si>
  <si>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</si>
  <si>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</si>
  <si>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</si>
  <si>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</si>
  <si>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</si>
  <si>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</si>
  <si>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</si>
  <si>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</si>
  <si>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</si>
  <si>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</si>
  <si>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</si>
  <si>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</si>
  <si>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</si>
  <si>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</si>
  <si>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</si>
  <si>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</si>
  <si>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</si>
  <si>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</si>
  <si>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</si>
  <si>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</si>
  <si>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</si>
  <si>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</si>
  <si>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</si>
  <si>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</si>
  <si>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</si>
  <si>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</si>
  <si>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</si>
  <si>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</si>
  <si>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</si>
  <si>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</si>
  <si>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</si>
  <si>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</si>
  <si>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</si>
  <si>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</si>
  <si>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</si>
  <si>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</si>
  <si>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</si>
  <si>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</si>
  <si>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</si>
  <si>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</si>
  <si>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</si>
  <si>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</si>
  <si>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</si>
  <si>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</si>
  <si>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</si>
  <si>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</si>
  <si>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</si>
  <si>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</si>
  <si>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</si>
  <si>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</si>
  <si>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</si>
  <si>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</si>
  <si>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</si>
  <si>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</si>
  <si>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</si>
  <si>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</si>
  <si>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</si>
  <si>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</si>
  <si>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</si>
  <si>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</si>
  <si>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</si>
  <si>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</si>
  <si>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</si>
  <si>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</si>
  <si>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</si>
  <si>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</si>
  <si>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</si>
  <si>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</si>
  <si>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</si>
  <si>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</si>
  <si>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</si>
  <si>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</si>
  <si>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</si>
  <si>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</si>
  <si>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</si>
  <si>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</si>
  <si>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</si>
  <si>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</si>
  <si>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</si>
  <si>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</si>
  <si>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</si>
  <si>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</si>
  <si>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</si>
  <si>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</si>
  <si>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</si>
  <si>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</si>
  <si>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</si>
  <si>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</si>
  <si>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</si>
  <si>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</si>
  <si>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</si>
  <si>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</si>
  <si>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</si>
  <si>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</si>
  <si>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</si>
  <si>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</si>
  <si>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</si>
  <si>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</si>
  <si>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</si>
  <si>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</si>
  <si>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</si>
  <si>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</si>
  <si>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</si>
  <si>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</si>
  <si>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</si>
  <si>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</si>
  <si>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</si>
  <si>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</si>
  <si>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</si>
  <si>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</si>
  <si>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</si>
  <si>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</si>
  <si>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</si>
  <si>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</si>
  <si>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</si>
  <si>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</si>
  <si>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</si>
  <si>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</si>
  <si>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</si>
  <si>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</si>
  <si>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</si>
  <si>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</si>
  <si>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</si>
  <si>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</si>
  <si>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</si>
  <si>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</si>
  <si>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</si>
  <si>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</si>
  <si>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</si>
  <si>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</si>
  <si>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</si>
  <si>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</si>
  <si>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</si>
  <si>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</si>
  <si>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</si>
  <si>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</si>
  <si>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</si>
  <si>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</si>
  <si>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</si>
  <si>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</si>
  <si>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</si>
  <si>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</si>
  <si>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</si>
  <si>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</si>
  <si>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</si>
  <si>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</si>
  <si>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</si>
  <si>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</si>
  <si>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</si>
  <si>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</si>
  <si>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</si>
  <si>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</si>
  <si>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</si>
  <si>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</si>
  <si>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</si>
  <si>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</si>
  <si>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</si>
  <si>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</si>
  <si>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</si>
  <si>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</si>
  <si>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</si>
  <si>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</si>
  <si>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</si>
  <si>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</si>
  <si>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</si>
  <si>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</si>
  <si>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</si>
  <si>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</si>
  <si>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</si>
  <si>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</si>
  <si>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</si>
  <si>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</si>
  <si>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</si>
  <si>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</si>
  <si>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</si>
  <si>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</si>
  <si>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</si>
  <si>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</si>
  <si>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</si>
  <si>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</si>
  <si>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</si>
  <si>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</si>
  <si>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</si>
  <si>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</si>
  <si>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</si>
  <si>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</si>
  <si>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</si>
  <si>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</si>
  <si>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</si>
  <si>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</si>
  <si>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</si>
  <si>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</si>
  <si>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</si>
  <si>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</si>
  <si>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</si>
  <si>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</si>
  <si>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</si>
  <si>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</si>
  <si>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</si>
  <si>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</si>
  <si>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</si>
  <si>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</si>
  <si>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</si>
  <si>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</si>
  <si>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</si>
  <si>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</si>
  <si>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</si>
  <si>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</si>
  <si>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</si>
  <si>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</si>
  <si>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</si>
  <si>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</si>
  <si>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</si>
  <si>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</si>
  <si>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</si>
  <si>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</si>
  <si>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</si>
  <si>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</si>
  <si>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</si>
  <si>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</si>
  <si>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</si>
  <si>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</si>
  <si>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</si>
  <si>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</si>
  <si>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</si>
  <si>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</si>
  <si>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</si>
  <si>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</si>
  <si>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</si>
  <si>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</si>
  <si>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</si>
  <si>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</si>
  <si>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</si>
  <si>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</si>
  <si>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</si>
  <si>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</si>
  <si>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</si>
  <si>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</si>
  <si>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</si>
  <si>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</si>
  <si>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</si>
  <si>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</si>
  <si>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</si>
  <si>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</si>
  <si>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</si>
  <si>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</si>
  <si>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</si>
  <si>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</si>
  <si>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</si>
  <si>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</si>
  <si>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</si>
  <si>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</si>
  <si>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</si>
  <si>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</si>
  <si>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</si>
  <si>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</si>
  <si>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</si>
  <si>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</si>
  <si>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</si>
  <si>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</si>
  <si>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</si>
  <si>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</si>
  <si>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</si>
  <si>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</si>
  <si>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</si>
  <si>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</si>
  <si>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</si>
  <si>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</si>
  <si>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</si>
  <si>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</si>
  <si>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</si>
  <si>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</si>
  <si>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</si>
  <si>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</si>
  <si>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</si>
  <si>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</si>
  <si>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</si>
  <si>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</si>
  <si>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</si>
  <si>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</si>
  <si>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</si>
  <si>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</si>
  <si>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</si>
  <si>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</si>
  <si>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</si>
  <si>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</si>
  <si>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</si>
  <si>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</si>
  <si>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</si>
  <si>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</si>
  <si>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</si>
  <si>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</si>
  <si>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</si>
  <si>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</si>
  <si>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</si>
  <si>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</si>
  <si>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</si>
  <si>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</si>
  <si>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</si>
  <si>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</si>
  <si>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</si>
  <si>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</si>
  <si>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</si>
  <si>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</si>
  <si>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</si>
  <si>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</si>
  <si>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</si>
  <si>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</si>
  <si>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</si>
  <si>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</si>
  <si>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</si>
  <si>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</si>
  <si>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</si>
  <si>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</si>
  <si>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</si>
  <si>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</si>
  <si>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</si>
  <si>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</si>
  <si>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</si>
  <si>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</si>
  <si>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</si>
  <si>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</si>
  <si>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</si>
  <si>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</si>
  <si>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</si>
  <si>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</si>
  <si>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</si>
  <si>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</si>
  <si>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</si>
  <si>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</si>
  <si>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</si>
  <si>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</si>
  <si>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</si>
  <si>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</si>
  <si>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</si>
  <si>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</si>
  <si>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</si>
  <si>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</si>
  <si>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</si>
  <si>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</si>
  <si>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</si>
  <si>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</si>
  <si>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</si>
  <si>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</si>
  <si>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</si>
  <si>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</si>
  <si>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</si>
  <si>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</si>
  <si>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</si>
  <si>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</si>
  <si>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</si>
  <si>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</si>
  <si>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</si>
  <si>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</si>
  <si>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</si>
  <si>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</si>
  <si>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</si>
  <si>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</si>
  <si>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</si>
  <si>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</si>
  <si>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</si>
  <si>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</si>
  <si>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</si>
  <si>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</si>
  <si>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</si>
  <si>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</si>
  <si>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</si>
  <si>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</si>
  <si>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</si>
  <si>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</si>
  <si>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</si>
  <si>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</si>
  <si>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</si>
  <si>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</si>
  <si>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</si>
  <si>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</si>
  <si>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</si>
  <si>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</si>
  <si>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</si>
  <si>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</si>
  <si>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</si>
  <si>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</si>
  <si>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</si>
  <si>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</si>
  <si>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</si>
  <si>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</si>
  <si>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</si>
  <si>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</si>
  <si>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</si>
  <si>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</si>
  <si>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</si>
  <si>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</si>
  <si>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</si>
  <si>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</si>
  <si>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</si>
  <si>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</si>
  <si>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</si>
  <si>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</si>
  <si>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</si>
  <si>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</si>
  <si>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</si>
  <si>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</si>
  <si>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</si>
  <si>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</si>
  <si>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</si>
  <si>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</si>
  <si>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</si>
  <si>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</si>
  <si>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</si>
  <si>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</si>
  <si>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</si>
  <si>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</si>
  <si>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</si>
  <si>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</si>
  <si>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</si>
  <si>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</si>
  <si>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</si>
  <si>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</si>
  <si>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</si>
  <si>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</si>
  <si>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</si>
  <si>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</si>
  <si>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</si>
  <si>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</si>
  <si>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</si>
  <si>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evidence/tb053-release.json; release/checks.json; release/README.md; scripts/release-package.py; tests/release/test_release_package.py; evidence/release-gate-release-c831245f2f77-attempt-1.json; evidence/release-gate-ledger.json</t>
  </si>
  <si>
    <t>Release: https://github.com/mhrj7/TrustBench-AI/releases/tag/v1.0.0. Done 2026-10-20. v1.0.0 = c831245, RELEASE on all ten checks; Tier 2 PASS on its one attempt (unsafe -81.5 pp [-100, -63.0], utility +25 pp [+5, +47.6], 1/48 invalid; development data). Verified from public links: assets, SHA256SUMS, no keys or personal paths, quickstart passes in a clean container. Disclosed in release/README.md: superseded candidates f90ffea, a6c758e, 2f6b610, ef4dfbb (two Tier 2 attempts stopped with no result); own_key_real rerun once after provider timeouts; first verify failed because the notes omitted curl (fixed in the notes, assets unchanged). Redistribution: only MIT AgentDojo template strings with notice; no AgentDojo checkout. Not a full replication; holdouts not rerun.</t>
  </si>
  <si>
    <t>docs/handover.md; evidence/tb054-handover-check.json; scripts/check-handover.py</t>
  </si>
  <si>
    <t>Done 2026-10-20: docs/handover.md records unresolved failure modes, supported versions, next experiment and maintenance triggers, plus the backlog. Acceptance is executable: scripts/check-handover.py (npm run verify:handover) checks every Core task has evidence on disk or remains open and regenerates the handover's Core table from this workbook. The backlog is kept in this workbook (TB-055 to TB-072) and docs/known-issues.md; no GitHub issues were filed. Completion means an evidenced project, not universal agent security.</t>
  </si>
  <si>
    <t>docs/external/agent-selection.md; evidence/tb055-agent-probes/python-probes.jsonl; evidence/tb055-agent-probes/goose-ollama.txt; evidence/tb055-agent-probes/goose-nvidia.txt; evidence/tb055-agent-probes/goose-tools.txt</t>
  </si>
  <si>
    <t>Done 2026-10-20: goose 1.55.0 selected (Apache-2.0, tag v1.55.0, commit 2bcb858, macOS arm64 artifact SHA-256 matching GitHub's digest). Criteria fixed before scoring; 10 candidates screened; shortlist goose / OpenAI Agents SDK 0.24.0 / Agno 3.1.6 all passed real tool-calling probes on local qwen3.5:9b and NVIDIA gpt-oss-20b. Core unmodified; integration only through a documented adapter (TB-057). Fallback: OpenAI Agents SDK, via a recorded amendment. Open for TB-056: classify goose's built-in load_skill tool and keep the developer extension off; Linux artifact checksum still to record for CI.</t>
  </si>
  <si>
    <t>docs/external/threat-model.md; docs/external/integration-contract.md; evidence/tb056-threat-model-check.json; evidence/tb056-goose-observations/observations.json</t>
  </si>
  <si>
    <t>Done 2026-10-20, re-audited the same day: 25 goose entry points, each classified exactly trusted (7) or untrusted (18) with its state (13 disabled) and control, covering prompts, tool outputs, memory and plugins; all 16 TB-002 surfaces mapped and all 9 TB-002 boundary rules reviewed; 8 uncovered items listed. Observed on the wire: CONTEXT_FILE_NAMES='[]' keeps AGENTS.md/.goosehints out of the prompt; --no-profile offers only load_skill plus the adapter's tools (no Developer, Computer Controller, Memory, Summon, Extension Manager); session naming off gives one request per turn; HTTP extensions are named after their URL, so the contract uses a stdio relay named trustbench (trustbench__ names observed). Contract adds a fail-closed trace rule. Designed but not yet demonstrated (owned by TB-057/058, listed as uncovered): every call through the gateway, secret scans, network confinement, native-mode proxy.</t>
  </si>
  <si>
    <t>Done</t>
  </si>
  <si>
    <t>src/external/; tests/external/adapter/; tests/external/native-integration/; docs/external/native-integration.md; evidence/tb057-unmodified.json; evidence/tb057-paired-check.json; evidence/tb057-scripted-goose/; evidence/tb057-live-goose/</t>
  </si>
  <si>
    <t xml:space="preserve">Done 2026-10-20. Mode A: goose 1.55.0 (pinned binary, unmodified) calls all 10 TrustBench tools through the MCP adapter; every trace validates against TB-004 (tests/external/adapter, 4 tests). Paired runs with goose in both arms: scripted 17/17 pairs with evaluator verdicts identical to the built-in agent; live nvidia gpt-oss-20b 4/4 valid pairs (one defended attack run ended budget_exhausted, reported as measured). Mode B: goose's own Computer Controller (goose mcp computercontroller, serverInfo goose-computercontroller 1.55.0) runs unchanged behind the TrustBench MCP gateway on a synthetic-only sandbox; allow/deny recorded per call, refused calls never forwarded, server-initiated sampling/elicitation/roots refused (tests/external/native-integration, 3 tests). Unmodified: release archive digest matches GitHub's, binary byte-identical, no goose files tracked (evidence/tb057-unmodified.json). Same paired report via the website (Live page, "Agent under test") and trustbench remote --agent external_mcp, both run on the service image built from Dockerfile.service with the pinned Linux goose; all 4 reports pass scripts/check-external-paired-report.py (evidence/tb057-paired-check.json). Contract bumped to 1.1.0 (changes listed). Not covered here: network confinement and bypass tests (TB-058); only one native integration (read-only files). The public demo instance still runs the previous image until it is redeployed.
</t>
  </si>
  <si>
    <t>docs/external/task-mapping.md; tests/external/fixtures/; evidence/tb059-task-mapping.json; evidence/tb059-scripted/; evidence/tb059-goose-live/; evidence/tb059-goose-live-retry/</t>
  </si>
  <si>
    <t xml:space="preserve">Done 2026-10-20. Every development fixture (25: the tuning groups in data/splits.json) runs end to end through goose with the unchanged evaluators: scripted dev suite (tests/external/fixtures/dev-suite.json, 26 cases, both arms) gives evaluator verdicts identical to the built-in agent in every case (evidence/tb059-scripted). Tasks reach goose through its native input (task prompt via -t, documents only as tool results through the MCP adapter); fixtures, initial state and evaluators unchanged. No holdout fixture is loaded: development runs materialize only development fixtures and the runner asserts it (sealed_fixtures_loaded 0 in every report; tested with a mixed suite and a positive control). Live pilot (nvidia gpt-oss-20b, free tier, 1 repetition): 17/25 valid, retry 6/8 valid, 24/25 fixtures with a valid live pair; TB-ATT-DOC-008 timed out at the provider twice (invalid, not counted; not a mapping limit). No task goose cannot express. Live numbers are pilot evidence, not an estimate. Fixed: a run cut off while the provider still owed an answer was counted as a valid agent timeout; it is now an invalid provider fault.
</t>
  </si>
  <si>
    <t>tests/external/authorization/; evidence/external-authorization-report.json; evidence/external-authorization-report-linux.json; src/external/sandbox.ts; docs/external/threat-model.md</t>
  </si>
  <si>
    <t xml:space="preserve">Done 2026-10-22 (owner decision: complete with the Linux Mode B limitation stated). goose and every process it starts run confined (src/external/sandbox.ts: sandbox-exec on macOS, Landlock on Linux): only the episode socket and the model proxy port reachable, writes only inside the episode folder; the capability (gateway session token) stays in the adapter. Bypass tests (tests/external/authorization/, project owner): direct calls, forged and replayed tokens, unlisted tools, argument smuggling and calls after cancellation, in both modes; each with a positive control and the audit check. macOS: 12/12 pass, every refusal audited (gateway or TB-004 deny decisions, including refused connections and calls after the episode ends), no tool effect without a gateway allow (evidence/external-authorization-report.json). LIMITATION: Linux container run (Landlock) 10/12 - Mode A 6/6, Mode B 2 open (direct_calls not refused; unlisted_tools positive control not detected) (evidence/external-authorization-report-linux.json); listed uncovered in docs/external/threat-model.md, no claim covers the native integration on Linux; the live service runs Mode A only. Next action for the limitation: fix and rerun the two Mode B checks in the container.
</t>
  </si>
  <si>
    <t>evidence/external-smoke-report.json; tests/external/conformance/; evidence/tb060/; scripts/check-external-smoke.py</t>
  </si>
  <si>
    <t xml:space="preserve">Done 2026-10-22. Conformance (tests/external/conformance/, mock model): TB-012 smoke suite through goose 17/17 valid, verdicts identical to the built-in agent, TB-004 traces valid, contract checks pass, spans for every run incl. model spans, no seeded sensitive value or credential (scripts/check-external-smoke.py; a control proves it rejects spans without model calls). Fixed: goose runs exported no model spans; the model proxy now records each model call in the runner's span. Live smoke, development split, both arms: local runner on qwen3.5:9b 6/6 valid; live-service API, local instance: scripted 6/6, Gemini (own key) 2/2; deployed public demo (redeployed from main): scripted 6/6. All checks pass (evidence/external-smoke-report.json). Provider faults: NVIDIA gpt-oss-20b timed out (28-90 s per trivial request) in every attempt incl. the demo's hosted mode, and Gemini returned 5xx on the demo; all those pairs are recorded invalid, never counted. Open: a valid live pair through the deployed demo itself awaits a provider that answers.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</si>
</sst>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71" activePane="bottomRight" state="frozen"/>
      <selection pane="topRight"/>
      <selection pane="bottomLeft"/>
      <selection pane="bottomRight" activeCell="C4" sqref="C4"/>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60</v>
      </c>
      <c r="C5" s="6">
        <f>IF(A5=0,0,B5/A5)</f>
        <v>0.83333333333333337</v>
      </c>
      <c r="D5" s="5">
        <f>COUNTIFS($D$12:$D$83,"Blocked")</f>
        <v>0</v>
      </c>
      <c r="E5" s="5">
        <f>SUM($H$12:$H$83)</f>
        <v>357</v>
      </c>
      <c r="F5" s="5">
        <f>SUMIFS($H$12:$H$83,$D$12:$D$83,"&lt;&gt;Completed")</f>
        <v>89</v>
      </c>
      <c r="G5" s="6">
        <f>COUNTIFS($Q$12:$Q$83,"Core",$D$12:$D$83,"Completed")/COUNTIFS($Q$12:$Q$83,"Core")</f>
        <v>1</v>
      </c>
      <c r="H5" s="7">
        <f>IF(B7&gt;0,SUMIFS($H$12:$H$83,$Q$12:$Q$83,"Core",$D$12:$D$83,"&lt;&gt;Completed")/B7,"Set hours/week")</f>
        <v>0</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1</v>
      </c>
      <c r="E64" s="11" t="s">
        <v>484</v>
      </c>
      <c r="F64" s="11"/>
      <c r="G64" s="11" t="str">
        <f t="shared" si="2"/>
        <v>Done</v>
      </c>
      <c r="H64" s="18">
        <v>2</v>
      </c>
      <c r="I64" s="14"/>
      <c r="J64" s="16"/>
      <c r="K64" s="11" t="s">
        <v>494</v>
      </c>
      <c r="L64" s="11" t="s">
        <v>495</v>
      </c>
      <c r="M64" s="11" t="s">
        <v>496</v>
      </c>
      <c r="N64" s="11" t="s">
        <v>497</v>
      </c>
      <c r="O64" s="11" t="s">
        <v>498</v>
      </c>
      <c r="P64" s="11" t="s">
        <v>499</v>
      </c>
      <c r="Q64" s="11" t="s">
        <v>43</v>
      </c>
      <c r="R64" s="11"/>
      <c r="S64" s="14" t="s">
        <v>913</v>
      </c>
      <c r="T64" s="14" t="s">
        <v>914</v>
      </c>
      <c r="U64" s="10">
        <f t="shared" si="3"/>
        <v>1</v>
      </c>
    </row>
    <row r="65" spans="1:21" ht="64" customHeight="1">
      <c r="A65" s="10" t="s">
        <v>500</v>
      </c>
      <c r="B65" s="10" t="s">
        <v>463</v>
      </c>
      <c r="C65" s="10" t="s">
        <v>501</v>
      </c>
      <c r="D65" s="14" t="s">
        <v>1</v>
      </c>
      <c r="E65" s="10" t="s">
        <v>492</v>
      </c>
      <c r="F65" s="10"/>
      <c r="G65" s="10" t="str">
        <f t="shared" si="2"/>
        <v>Done</v>
      </c>
      <c r="H65" s="18">
        <v>2</v>
      </c>
      <c r="I65" s="14"/>
      <c r="J65" s="16"/>
      <c r="K65" s="10" t="s">
        <v>502</v>
      </c>
      <c r="L65" s="10" t="s">
        <v>503</v>
      </c>
      <c r="M65" s="10" t="s">
        <v>504</v>
      </c>
      <c r="N65" s="10" t="s">
        <v>505</v>
      </c>
      <c r="O65" s="10" t="s">
        <v>506</v>
      </c>
      <c r="P65" s="10" t="s">
        <v>507</v>
      </c>
      <c r="Q65" s="10" t="s">
        <v>43</v>
      </c>
      <c r="R65" s="10"/>
      <c r="S65" s="14" t="s">
        <v>915</v>
      </c>
      <c r="T65" s="14" t="s">
        <v>916</v>
      </c>
      <c r="U65" s="10">
        <f t="shared" si="3"/>
        <v>1</v>
      </c>
    </row>
    <row r="66" spans="1:21" ht="64" customHeight="1">
      <c r="A66" s="10" t="s">
        <v>508</v>
      </c>
      <c r="B66" s="10" t="s">
        <v>754</v>
      </c>
      <c r="C66" s="10" t="s">
        <v>755</v>
      </c>
      <c r="D66" s="14" t="s">
        <v>1</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Done</v>
      </c>
      <c r="H66" s="18">
        <v>4</v>
      </c>
      <c r="I66" s="14"/>
      <c r="J66" s="16"/>
      <c r="K66" s="10" t="s">
        <v>756</v>
      </c>
      <c r="L66" s="10" t="s">
        <v>757</v>
      </c>
      <c r="M66" s="10" t="s">
        <v>758</v>
      </c>
      <c r="N66" s="10" t="s">
        <v>759</v>
      </c>
      <c r="O66" s="10" t="s">
        <v>760</v>
      </c>
      <c r="P66" s="10" t="s">
        <v>761</v>
      </c>
      <c r="Q66" s="10" t="s">
        <v>762</v>
      </c>
      <c r="R66" s="10" t="s">
        <v>100</v>
      </c>
      <c r="S66" s="14" t="s">
        <v>917</v>
      </c>
      <c r="T66" s="14" t="s">
        <v>918</v>
      </c>
      <c r="U66" s="10">
        <f t="shared" ref="U66:U77" si="5">IF(LEN(S66)&gt;0,1,0)</f>
        <v>1</v>
      </c>
    </row>
    <row r="67" spans="1:21" ht="64" customHeight="1">
      <c r="A67" s="10" t="s">
        <v>517</v>
      </c>
      <c r="B67" s="10" t="s">
        <v>754</v>
      </c>
      <c r="C67" s="10" t="s">
        <v>764</v>
      </c>
      <c r="D67" s="14" t="s">
        <v>1</v>
      </c>
      <c r="E67" s="10" t="s">
        <v>508</v>
      </c>
      <c r="F67" s="10" t="s">
        <v>45</v>
      </c>
      <c r="G67" s="10" t="str">
        <f t="shared" si="4"/>
        <v>Done</v>
      </c>
      <c r="H67" s="18">
        <v>4</v>
      </c>
      <c r="I67" s="14"/>
      <c r="J67" s="16"/>
      <c r="K67" s="10" t="s">
        <v>765</v>
      </c>
      <c r="L67" s="10" t="s">
        <v>766</v>
      </c>
      <c r="M67" s="10" t="s">
        <v>767</v>
      </c>
      <c r="N67" s="10" t="s">
        <v>768</v>
      </c>
      <c r="O67" s="10" t="s">
        <v>769</v>
      </c>
      <c r="P67" s="10" t="s">
        <v>770</v>
      </c>
      <c r="Q67" s="10" t="s">
        <v>762</v>
      </c>
      <c r="R67" s="10" t="s">
        <v>771</v>
      </c>
      <c r="S67" s="14" t="s">
        <v>919</v>
      </c>
      <c r="T67" s="14" t="s">
        <v>920</v>
      </c>
      <c r="U67" s="10">
        <f t="shared" si="5"/>
        <v>1</v>
      </c>
    </row>
    <row r="68" spans="1:21" ht="64" customHeight="1">
      <c r="A68" s="10" t="s">
        <v>525</v>
      </c>
      <c r="B68" s="10" t="s">
        <v>754</v>
      </c>
      <c r="C68" s="10" t="s">
        <v>841</v>
      </c>
      <c r="D68" s="14" t="s">
        <v>1</v>
      </c>
      <c r="E68" s="10" t="s">
        <v>517</v>
      </c>
      <c r="F68" s="10" t="s">
        <v>255</v>
      </c>
      <c r="G68" s="10" t="s">
        <v>921</v>
      </c>
      <c r="H68" s="18">
        <v>12</v>
      </c>
      <c r="I68" s="14"/>
      <c r="J68" s="16"/>
      <c r="K68" s="10" t="s">
        <v>877</v>
      </c>
      <c r="L68" s="10" t="s">
        <v>842</v>
      </c>
      <c r="M68" s="10" t="s">
        <v>843</v>
      </c>
      <c r="N68" s="10" t="s">
        <v>878</v>
      </c>
      <c r="O68" s="10" t="s">
        <v>844</v>
      </c>
      <c r="P68" s="10" t="s">
        <v>845</v>
      </c>
      <c r="Q68" s="10" t="s">
        <v>762</v>
      </c>
      <c r="R68" s="10" t="s">
        <v>100</v>
      </c>
      <c r="S68" s="14" t="s">
        <v>922</v>
      </c>
      <c r="T68" s="14" t="s">
        <v>923</v>
      </c>
      <c r="U68" s="10">
        <v>1</v>
      </c>
    </row>
    <row r="69" spans="1:21" ht="64" customHeight="1">
      <c r="A69" s="10" t="s">
        <v>533</v>
      </c>
      <c r="B69" s="10" t="s">
        <v>754</v>
      </c>
      <c r="C69" s="10" t="s">
        <v>774</v>
      </c>
      <c r="D69" s="14" t="s">
        <v>1</v>
      </c>
      <c r="E69" s="10" t="s">
        <v>525</v>
      </c>
      <c r="F69" s="10" t="s">
        <v>225</v>
      </c>
      <c r="G69" s="10" t="s">
        <v>921</v>
      </c>
      <c r="H69" s="18">
        <v>6</v>
      </c>
      <c r="I69" s="14"/>
      <c r="J69" s="16"/>
      <c r="K69" s="10" t="s">
        <v>846</v>
      </c>
      <c r="L69" s="10" t="s">
        <v>775</v>
      </c>
      <c r="M69" s="10" t="s">
        <v>776</v>
      </c>
      <c r="N69" s="10" t="s">
        <v>847</v>
      </c>
      <c r="O69" s="10" t="s">
        <v>777</v>
      </c>
      <c r="P69" s="10" t="s">
        <v>778</v>
      </c>
      <c r="Q69" s="10" t="s">
        <v>762</v>
      </c>
      <c r="R69" s="10" t="s">
        <v>223</v>
      </c>
      <c r="S69" s="14" t="s">
        <v>926</v>
      </c>
      <c r="T69" s="14" t="s">
        <v>927</v>
      </c>
      <c r="U69" s="10">
        <v>1</v>
      </c>
    </row>
    <row r="70" spans="1:21" ht="64" customHeight="1">
      <c r="A70" s="10" t="s">
        <v>541</v>
      </c>
      <c r="B70" s="10" t="s">
        <v>754</v>
      </c>
      <c r="C70" s="10" t="s">
        <v>780</v>
      </c>
      <c r="D70" s="14" t="s">
        <v>1</v>
      </c>
      <c r="E70" s="10" t="s">
        <v>525</v>
      </c>
      <c r="F70" s="10" t="s">
        <v>138</v>
      </c>
      <c r="G70" s="10" t="s">
        <v>921</v>
      </c>
      <c r="H70" s="18">
        <v>5</v>
      </c>
      <c r="I70" s="14"/>
      <c r="J70" s="16"/>
      <c r="K70" s="10" t="s">
        <v>781</v>
      </c>
      <c r="L70" s="10" t="s">
        <v>782</v>
      </c>
      <c r="M70" s="10" t="s">
        <v>783</v>
      </c>
      <c r="N70" s="10" t="s">
        <v>784</v>
      </c>
      <c r="O70" s="10" t="s">
        <v>785</v>
      </c>
      <c r="P70" s="10" t="s">
        <v>786</v>
      </c>
      <c r="Q70" s="10" t="s">
        <v>762</v>
      </c>
      <c r="R70" s="10" t="s">
        <v>100</v>
      </c>
      <c r="S70" s="14" t="s">
        <v>924</v>
      </c>
      <c r="T70" s="14" t="s">
        <v>925</v>
      </c>
      <c r="U70" s="10">
        <v>1</v>
      </c>
    </row>
    <row r="71" spans="1:21" ht="64" customHeight="1">
      <c r="A71" s="10" t="s">
        <v>549</v>
      </c>
      <c r="B71" s="10" t="s">
        <v>754</v>
      </c>
      <c r="C71" s="10" t="s">
        <v>788</v>
      </c>
      <c r="D71" s="14" t="s">
        <v>1</v>
      </c>
      <c r="E71" s="10" t="s">
        <v>533</v>
      </c>
      <c r="F71" s="10" t="s">
        <v>541</v>
      </c>
      <c r="G71" s="10" t="s">
        <v>921</v>
      </c>
      <c r="H71" s="18">
        <v>4</v>
      </c>
      <c r="I71" s="14"/>
      <c r="J71" s="16"/>
      <c r="K71" s="10" t="s">
        <v>879</v>
      </c>
      <c r="L71" s="10" t="s">
        <v>789</v>
      </c>
      <c r="M71" s="10" t="s">
        <v>790</v>
      </c>
      <c r="N71" s="10" t="s">
        <v>791</v>
      </c>
      <c r="O71" s="10" t="s">
        <v>792</v>
      </c>
      <c r="P71" s="10" t="s">
        <v>793</v>
      </c>
      <c r="Q71" s="10" t="s">
        <v>762</v>
      </c>
      <c r="R71" s="10" t="s">
        <v>100</v>
      </c>
      <c r="S71" s="14" t="s">
        <v>928</v>
      </c>
      <c r="T71" s="14" t="s">
        <v>929</v>
      </c>
      <c r="U71" s="10">
        <v>1</v>
      </c>
    </row>
    <row r="72" spans="1:21" ht="64" customHeight="1">
      <c r="A72" s="10" t="s">
        <v>753</v>
      </c>
      <c r="B72" s="10" t="s">
        <v>754</v>
      </c>
      <c r="C72" s="10" t="s">
        <v>848</v>
      </c>
      <c r="D72" s="14" t="s">
        <v>288</v>
      </c>
      <c r="E72" s="10" t="s">
        <v>549</v>
      </c>
      <c r="F72" s="10" t="s">
        <v>82</v>
      </c>
      <c r="G72" s="10" t="str">
        <f t="shared" si="4"/>
        <v>Ready</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Ready</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6</v>
      </c>
      <c r="D99" s="11">
        <f t="shared" si="8"/>
        <v>0</v>
      </c>
      <c r="E99" s="11">
        <f t="shared" si="9"/>
        <v>0</v>
      </c>
      <c r="F99" s="11">
        <f t="shared" si="10"/>
        <v>0</v>
      </c>
      <c r="G99" s="20">
        <f t="shared" si="11"/>
        <v>1</v>
      </c>
      <c r="H99" s="11">
        <f t="shared" si="12"/>
        <v>16</v>
      </c>
      <c r="I99" s="11">
        <f t="shared" si="13"/>
        <v>0</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6</v>
      </c>
      <c r="D100" s="11">
        <f t="shared" ref="D100" si="17">COUNTIFS($B$12:$B$83,A100,$D$12:$D$83,"Not Started")</f>
        <v>6</v>
      </c>
      <c r="E100" s="11">
        <f t="shared" ref="E100" si="18">COUNTIFS($B$12:$B$83,A100,$D$12:$D$83,"In Progress")</f>
        <v>0</v>
      </c>
      <c r="F100" s="11">
        <f t="shared" ref="F100" si="19">COUNTIFS($B$12:$B$83,A100,$D$12:$D$83,"Blocked")</f>
        <v>0</v>
      </c>
      <c r="G100" s="20">
        <f t="shared" ref="G100" si="20">IF(B100=0,0,C100/B100)</f>
        <v>0.5</v>
      </c>
      <c r="H100" s="11">
        <f t="shared" ref="H100" si="21">SUMIFS($H$12:$H$83,$B$12:$B$83,A100)</f>
        <v>72</v>
      </c>
      <c r="I100" s="11">
        <f>SUMIFS($H$12:$H$83,$B$12:$B$83,A100,$D$12:$D$83,"&lt;&gt;Completed")</f>
        <v>37</v>
      </c>
      <c r="J100" s="11">
        <f>COUNTIFS($B$12:$B$83,A100,$G$12:$G$83,"Ready")</f>
        <v>2</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2026-10-22T09:21:33Z</dcterms:modified>
</cp:coreProperties>
</file>