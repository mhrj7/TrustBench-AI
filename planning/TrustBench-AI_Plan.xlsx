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F6DB3734-E38E-BF4D-AB4D-8C76CCB322C1}"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G66" i="1" s="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U12" i="1"/>
  <c r="G14" i="1" s="1"/>
  <c r="G12" i="1"/>
  <c r="I5" i="1"/>
  <c r="H5" i="1"/>
  <c r="G5" i="1"/>
  <c r="F5" i="1"/>
  <c r="E5" i="1"/>
  <c r="D5" i="1"/>
  <c r="B5" i="1"/>
  <c r="A5" i="1"/>
  <c r="G68" i="1" l="1"/>
  <c r="G67" i="1"/>
  <c r="G60" i="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<sst xmlns="http://schemas.openxmlformats.org/spreadsheetml/2006/main" count="1265" uniqueCount="921">
  <si>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</si>
  <si>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</si>
  <si>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</si>
  <si>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</si>
  <si>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</si>
  <si>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</si>
  <si>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</si>
  <si>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</si>
  <si>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</si>
  <si>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</si>
  <si>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</si>
  <si>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</si>
  <si>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</si>
  <si>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</si>
  <si>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</si>
  <si>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</si>
  <si>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</si>
  <si>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</si>
  <si>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</si>
  <si>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</si>
  <si>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</si>
  <si>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</si>
  <si>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</si>
  <si>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</si>
  <si>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</si>
  <si>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</si>
  <si>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</si>
  <si>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</si>
  <si>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</si>
  <si>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</si>
  <si>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</si>
  <si>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</si>
  <si>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</si>
  <si>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</si>
  <si>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</si>
  <si>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</si>
  <si>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</si>
  <si>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</si>
  <si>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</si>
  <si>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</si>
  <si>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</si>
  <si>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</si>
  <si>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</si>
  <si>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</si>
  <si>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</si>
  <si>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</si>
  <si>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</si>
  <si>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</si>
  <si>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</si>
  <si>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</si>
  <si>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</si>
  <si>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</si>
  <si>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</si>
  <si>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</si>
  <si>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</si>
  <si>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</si>
  <si>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</si>
  <si>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</si>
  <si>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</si>
  <si>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</si>
  <si>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</si>
  <si>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</si>
  <si>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</si>
  <si>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</si>
  <si>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</si>
  <si>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</si>
  <si>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</si>
  <si>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</si>
  <si>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</si>
  <si>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</si>
  <si>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</si>
  <si>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</si>
  <si>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</si>
  <si>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</si>
  <si>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</si>
  <si>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</si>
  <si>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</si>
  <si>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</si>
  <si>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</si>
  <si>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</si>
  <si>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</si>
  <si>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</si>
  <si>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</si>
  <si>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</si>
  <si>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</si>
  <si>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</si>
  <si>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</si>
  <si>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</si>
  <si>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</si>
  <si>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</si>
  <si>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</si>
  <si>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</si>
  <si>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</si>
  <si>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</si>
  <si>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</si>
  <si>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</si>
  <si>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</si>
  <si>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</si>
  <si>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</si>
  <si>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</si>
  <si>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</si>
  <si>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</si>
  <si>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</si>
  <si>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</si>
  <si>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</si>
  <si>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</si>
  <si>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</si>
  <si>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</si>
  <si>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</si>
  <si>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</si>
  <si>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</si>
  <si>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</si>
  <si>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</si>
  <si>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</si>
  <si>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</si>
  <si>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</si>
  <si>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</si>
  <si>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</si>
  <si>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</si>
  <si>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</si>
  <si>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</si>
  <si>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</si>
  <si>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</si>
  <si>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</si>
  <si>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</si>
  <si>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</si>
  <si>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</si>
  <si>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</si>
  <si>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</si>
  <si>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</si>
  <si>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</si>
  <si>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</si>
  <si>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</si>
  <si>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</si>
  <si>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</si>
  <si>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</si>
  <si>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</si>
  <si>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</si>
  <si>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</si>
  <si>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</si>
  <si>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</si>
  <si>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</si>
  <si>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</si>
  <si>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</si>
  <si>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</si>
  <si>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</si>
  <si>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</si>
  <si>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</si>
  <si>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</si>
  <si>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</si>
  <si>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</si>
  <si>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</si>
  <si>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</si>
  <si>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</si>
  <si>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</si>
  <si>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</si>
  <si>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</si>
  <si>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</si>
  <si>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</si>
  <si>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</si>
  <si>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</si>
  <si>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</si>
  <si>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</si>
  <si>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</si>
  <si>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</si>
  <si>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</si>
  <si>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</si>
  <si>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</si>
  <si>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</si>
  <si>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</si>
  <si>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</si>
  <si>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</si>
  <si>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</si>
  <si>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</si>
  <si>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</si>
  <si>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</si>
  <si>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</si>
  <si>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</si>
  <si>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</si>
  <si>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</si>
  <si>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</si>
  <si>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</si>
  <si>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</si>
  <si>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</si>
  <si>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</si>
  <si>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</si>
  <si>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</si>
  <si>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</si>
  <si>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</si>
  <si>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</si>
  <si>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</si>
  <si>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</si>
  <si>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</si>
  <si>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</si>
  <si>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</si>
  <si>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</si>
  <si>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</si>
  <si>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</si>
  <si>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</si>
  <si>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</si>
  <si>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</si>
  <si>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</si>
  <si>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</si>
  <si>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</si>
  <si>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</si>
  <si>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</si>
  <si>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</si>
  <si>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</si>
  <si>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</si>
  <si>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</si>
  <si>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</si>
  <si>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</si>
  <si>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</si>
  <si>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</si>
  <si>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</si>
  <si>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</si>
  <si>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</si>
  <si>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</si>
  <si>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</si>
  <si>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</si>
  <si>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</si>
  <si>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</si>
  <si>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</si>
  <si>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</si>
  <si>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</si>
  <si>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</si>
  <si>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</si>
  <si>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</si>
  <si>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</si>
  <si>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</si>
  <si>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</si>
  <si>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</si>
  <si>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</si>
  <si>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</si>
  <si>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</si>
  <si>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</si>
  <si>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</si>
  <si>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</si>
  <si>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</si>
  <si>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</si>
  <si>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</si>
  <si>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</si>
  <si>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</si>
  <si>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</si>
  <si>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</si>
  <si>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</si>
  <si>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</si>
  <si>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</si>
  <si>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</si>
  <si>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</si>
  <si>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</si>
  <si>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</si>
  <si>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</si>
  <si>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</si>
  <si>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</si>
  <si>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</si>
  <si>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</si>
  <si>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</si>
  <si>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</si>
  <si>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</si>
  <si>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</si>
  <si>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</si>
  <si>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</si>
  <si>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</si>
  <si>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</si>
  <si>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</si>
  <si>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</si>
  <si>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</si>
  <si>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</si>
  <si>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</si>
  <si>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</si>
  <si>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</si>
  <si>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</si>
  <si>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</si>
  <si>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</si>
  <si>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</si>
  <si>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</si>
  <si>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</si>
  <si>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</si>
  <si>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</si>
  <si>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</si>
  <si>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</si>
  <si>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</si>
  <si>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</si>
  <si>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</si>
  <si>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</si>
  <si>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</si>
  <si>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</si>
  <si>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</si>
  <si>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</si>
  <si>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</si>
  <si>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</si>
  <si>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</si>
  <si>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</si>
  <si>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</si>
  <si>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</si>
  <si>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</si>
  <si>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</si>
  <si>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</si>
  <si>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</si>
  <si>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</si>
  <si>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</si>
  <si>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</si>
  <si>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</si>
  <si>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</si>
  <si>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</si>
  <si>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</si>
  <si>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</si>
  <si>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</si>
  <si>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</si>
  <si>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</si>
  <si>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</si>
  <si>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</si>
  <si>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</si>
  <si>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</si>
  <si>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</si>
  <si>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</si>
  <si>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</si>
  <si>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</si>
  <si>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</si>
  <si>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</si>
  <si>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</si>
  <si>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</si>
  <si>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</si>
  <si>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</si>
  <si>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</si>
  <si>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</si>
  <si>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</si>
  <si>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</si>
  <si>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</si>
  <si>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</si>
  <si>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</si>
  <si>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</si>
  <si>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</si>
  <si>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</si>
  <si>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</si>
  <si>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</si>
  <si>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</si>
  <si>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</si>
  <si>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</si>
  <si>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</si>
  <si>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</si>
  <si>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</si>
  <si>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</si>
  <si>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</si>
  <si>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</si>
  <si>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</si>
  <si>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</si>
  <si>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</si>
  <si>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</si>
  <si>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</si>
  <si>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</si>
  <si>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</si>
  <si>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</si>
  <si>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</si>
  <si>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</si>
  <si>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</si>
  <si>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</si>
  <si>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</si>
  <si>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</si>
  <si>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</si>
  <si>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</si>
  <si>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</si>
  <si>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</si>
  <si>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</si>
  <si>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</si>
  <si>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</si>
  <si>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</si>
  <si>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</si>
  <si>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</si>
  <si>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</si>
  <si>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</si>
  <si>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</si>
  <si>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</si>
  <si>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</si>
  <si>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</si>
  <si>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</si>
  <si>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</si>
  <si>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</si>
  <si>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</si>
  <si>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</si>
  <si>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</si>
  <si>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</si>
  <si>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</si>
  <si>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</si>
  <si>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</si>
  <si>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</si>
  <si>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</si>
  <si>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</si>
  <si>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</si>
  <si>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</si>
  <si>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</si>
  <si>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</si>
  <si>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</si>
  <si>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</si>
  <si>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</si>
  <si>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</si>
  <si>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</si>
  <si>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</si>
  <si>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</si>
  <si>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</si>
  <si>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</si>
  <si>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</si>
  <si>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</si>
  <si>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</si>
  <si>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</si>
  <si>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</si>
  <si>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</si>
  <si>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</si>
  <si>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</si>
  <si>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</si>
  <si>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</si>
  <si>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</si>
  <si>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</si>
  <si>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</si>
  <si>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</si>
  <si>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</si>
  <si>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</si>
  <si>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</si>
  <si>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</si>
  <si>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</si>
  <si>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</si>
  <si>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</si>
  <si>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</si>
  <si>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</si>
  <si>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</si>
  <si>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</si>
  <si>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</si>
  <si>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</si>
  <si>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</si>
  <si>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</si>
  <si>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</si>
  <si>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</si>
  <si>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</si>
  <si>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</si>
  <si>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</si>
  <si>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</si>
  <si>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</si>
  <si>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</si>
  <si>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</si>
  <si>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</si>
  <si>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</si>
  <si>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</si>
  <si>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</si>
  <si>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</si>
  <si>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</si>
  <si>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</si>
  <si>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</si>
  <si>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</si>
  <si>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</si>
  <si>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</si>
  <si>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</si>
  <si>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</si>
  <si>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</si>
  <si>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</si>
  <si>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</si>
  <si>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</si>
  <si>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</si>
  <si>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</si>
  <si>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</si>
  <si>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</si>
  <si>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</si>
  <si>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</si>
  <si>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</si>
  <si>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</si>
  <si>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</si>
  <si>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</si>
  <si>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</si>
  <si>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</si>
  <si>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</si>
  <si>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</si>
  <si>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</si>
  <si>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</si>
  <si>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</si>
  <si>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</si>
  <si>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</si>
  <si>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</si>
  <si>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</si>
  <si>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</si>
  <si>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</si>
  <si>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</si>
  <si>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</si>
  <si>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</si>
  <si>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</si>
  <si>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</si>
  <si>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</si>
  <si>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</si>
  <si>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</si>
  <si>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</si>
  <si>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</si>
  <si>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</si>
  <si>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</si>
  <si>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</si>
  <si>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</si>
  <si>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</si>
  <si>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</si>
  <si>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</si>
  <si>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</si>
  <si>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</si>
  <si>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</si>
  <si>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</si>
  <si>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</si>
  <si>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</si>
  <si>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</si>
  <si>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</si>
  <si>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</si>
  <si>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</si>
  <si>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</si>
  <si>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</si>
  <si>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</si>
  <si>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</si>
  <si>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</si>
  <si>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</si>
  <si>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</si>
  <si>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</si>
  <si>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</si>
  <si>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</si>
  <si>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</si>
  <si>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</si>
  <si>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</si>
  <si>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</si>
  <si>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</si>
  <si>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</si>
  <si>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</si>
  <si>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</si>
  <si>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</si>
  <si>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</si>
  <si>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</si>
  <si>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</si>
  <si>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</si>
  <si>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</si>
  <si>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</si>
  <si>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</si>
  <si>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</si>
  <si>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</si>
  <si>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</si>
  <si>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</si>
  <si>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</si>
  <si>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</si>
  <si>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</si>
  <si>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</si>
  <si>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</si>
  <si>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</si>
  <si>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</si>
  <si>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</si>
  <si>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</si>
  <si>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</si>
  <si>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</si>
  <si>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</si>
  <si>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</si>
  <si>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</si>
  <si>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</si>
  <si>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</si>
  <si>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</si>
  <si>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</si>
  <si>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</si>
  <si>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</si>
  <si>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</si>
  <si>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</si>
  <si>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</si>
  <si>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</si>
  <si>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</si>
  <si>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</si>
  <si>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</si>
  <si>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</si>
  <si>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</si>
  <si>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</si>
  <si>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</si>
  <si>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</si>
  <si>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</si>
  <si>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</si>
  <si>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</si>
  <si>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</si>
  <si>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</si>
  <si>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</si>
  <si>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</si>
  <si>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</si>
  <si>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</si>
  <si>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</si>
  <si>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</si>
  <si>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</si>
  <si>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</si>
  <si>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</si>
  <si>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</si>
  <si>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</si>
  <si>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</si>
  <si>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</si>
  <si>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</si>
  <si>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</si>
  <si>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</si>
  <si>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</si>
  <si>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</si>
  <si>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</si>
  <si>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</si>
  <si>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</si>
  <si>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</si>
  <si>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</si>
  <si>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</si>
  <si>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</si>
  <si>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</si>
  <si>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</si>
  <si>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</si>
  <si>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</si>
  <si>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</si>
  <si>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</si>
  <si>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</si>
  <si>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</si>
  <si>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</si>
  <si>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</si>
  <si>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</si>
  <si>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</si>
  <si>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</si>
  <si>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</si>
  <si>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</si>
  <si>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</si>
  <si>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</si>
  <si>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</si>
  <si>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</si>
  <si>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</si>
  <si>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</si>
  <si>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</si>
  <si>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</si>
  <si>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</si>
  <si>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</si>
  <si>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</si>
  <si>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</si>
  <si>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</si>
  <si>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</si>
  <si>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</si>
  <si>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</si>
  <si>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</si>
  <si>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</si>
  <si>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</si>
  <si>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</si>
  <si>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</si>
  <si>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</si>
  <si>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</si>
  <si>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</si>
  <si>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</si>
  <si>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</si>
  <si>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</si>
  <si>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</si>
  <si>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</si>
  <si>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</si>
  <si>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</si>
  <si>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</si>
  <si>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</si>
  <si>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</si>
  <si>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</si>
  <si>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</si>
  <si>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</si>
  <si>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</si>
  <si>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</si>
  <si>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</si>
  <si>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</si>
  <si>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</si>
  <si>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</si>
  <si>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</si>
  <si>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</si>
  <si>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</si>
  <si>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</si>
  <si>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</si>
  <si>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</si>
  <si>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</si>
  <si>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</si>
  <si>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</si>
  <si>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</si>
  <si>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</si>
  <si>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</si>
  <si>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</si>
  <si>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</si>
  <si>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</si>
  <si>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</si>
  <si>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</si>
  <si>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</si>
  <si>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</si>
  <si>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</si>
  <si>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</si>
  <si>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</si>
  <si>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</si>
  <si>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</si>
  <si>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</si>
  <si>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</si>
  <si>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</si>
  <si>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</si>
  <si>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</si>
  <si>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</si>
  <si>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</si>
  <si>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</si>
  <si>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</si>
  <si>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</si>
  <si>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</si>
  <si>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</si>
  <si>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</si>
  <si>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</si>
  <si>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</si>
  <si>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</si>
  <si>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</si>
  <si>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</si>
  <si>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</si>
  <si>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</si>
  <si>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</si>
  <si>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</si>
  <si>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</si>
  <si>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</si>
  <si>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</si>
  <si>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</si>
  <si>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</si>
  <si>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</si>
  <si>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</si>
  <si>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</si>
  <si>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</si>
  <si>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</si>
  <si>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</si>
  <si>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</si>
  <si>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</si>
  <si>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</si>
  <si>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</si>
  <si>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</si>
  <si>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</si>
  <si>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</si>
  <si>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</si>
  <si>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</si>
  <si>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</si>
  <si>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</si>
  <si>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</si>
  <si>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</si>
  <si>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</si>
  <si>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</si>
  <si>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</si>
  <si>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</si>
  <si>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</si>
  <si>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</si>
  <si>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</si>
  <si>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</si>
  <si>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</si>
  <si>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</si>
  <si>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</si>
  <si>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</si>
  <si>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</si>
  <si>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</si>
  <si>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</si>
  <si>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</si>
  <si>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</si>
  <si>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</si>
  <si>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</si>
  <si>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</si>
  <si>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</si>
  <si>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</si>
  <si>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</si>
  <si>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</si>
  <si>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</si>
  <si>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</si>
  <si>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</si>
  <si>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</si>
  <si>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</si>
  <si>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</si>
  <si>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</si>
  <si>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</si>
  <si>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</si>
  <si>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</si>
  <si>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</si>
  <si>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</si>
  <si>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</si>
  <si>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</si>
  <si>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</si>
  <si>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</si>
  <si>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</si>
  <si>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</si>
  <si>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</si>
  <si>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</si>
  <si>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</si>
  <si>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</si>
  <si>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</si>
  <si>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</si>
  <si>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</si>
  <si>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</si>
  <si>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</si>
  <si>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</si>
  <si>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</si>
  <si>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</si>
  <si>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</si>
  <si>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</si>
  <si>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</si>
  <si>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</si>
  <si>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</si>
  <si>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</si>
  <si>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</si>
  <si>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</si>
  <si>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</si>
  <si>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</si>
  <si>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</si>
  <si>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</si>
  <si>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</si>
  <si>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</si>
  <si>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</si>
  <si>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</si>
  <si>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</si>
  <si>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</si>
  <si>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</si>
  <si>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</si>
  <si>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</si>
  <si>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</si>
  <si>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</si>
  <si>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</si>
  <si>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</si>
  <si>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</si>
  <si>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</si>
  <si>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</si>
  <si>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</si>
  <si>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</si>
  <si>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</si>
  <si>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</si>
  <si>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</si>
  <si>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</si>
  <si>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</si>
  <si>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</si>
  <si>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</si>
  <si>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</si>
  <si>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</si>
  <si>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</si>
  <si>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</si>
  <si>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</si>
  <si>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</si>
  <si>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</si>
  <si>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</si>
  <si>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</si>
  <si>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</si>
  <si>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</si>
  <si>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</si>
  <si>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</si>
  <si>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</si>
  <si>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</si>
  <si>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</si>
  <si>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</si>
  <si>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</si>
  <si>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</si>
  <si>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</si>
  <si>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</si>
  <si>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</si>
  <si>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</si>
  <si>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</si>
  <si>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</si>
  <si>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</si>
  <si>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</si>
  <si>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</si>
  <si>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</si>
  <si>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</si>
  <si>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</si>
  <si>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</si>
  <si>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</si>
  <si>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</si>
  <si>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</si>
  <si>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</si>
  <si>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</si>
  <si>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</si>
  <si>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</si>
  <si>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</si>
  <si>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</si>
  <si>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</si>
  <si>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</si>
  <si>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</si>
  <si>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</si>
  <si>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</si>
  <si>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</si>
  <si>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</si>
  <si>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</si>
  <si>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</si>
  <si>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</si>
  <si>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</si>
  <si>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</si>
  <si>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</si>
  <si>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</si>
  <si>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</si>
  <si>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</si>
  <si>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</si>
  <si>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</si>
  <si>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</si>
  <si>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</si>
  <si>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</si>
  <si>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</si>
  <si>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</si>
  <si>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</si>
  <si>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</si>
  <si>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</si>
  <si>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</si>
  <si>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</si>
  <si>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</si>
  <si>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</si>
  <si>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</si>
  <si>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</si>
  <si>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</si>
  <si>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</si>
  <si>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</si>
  <si>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</si>
  <si>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</si>
  <si>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</si>
  <si>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</si>
  <si>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</si>
  <si>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</si>
  <si>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</si>
  <si>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</si>
  <si>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</si>
  <si>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</si>
  <si>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</si>
  <si>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</si>
  <si>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</si>
  <si>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</si>
  <si>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</si>
  <si>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</si>
  <si>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</si>
  <si>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</si>
  <si>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</si>
  <si>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</si>
  <si>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</si>
  <si>
    <t>docs/handover.md; evidence/tb054-handover-check.json; scripts/check-handover.py</t>
  </si>
  <si>
    <t>Done 2026-10-20: docs/handover.md records unresolved failure modes, supported versions, next experiment and maintenance triggers, plus the backlog. Acceptance is executable: scripts/check-handover.py (npm run verify:handover) checks every Core task has evidence on disk or remains open and regenerates the handover's Core table from this workbook. The backlog is kept in this workbook (TB-055 to TB-072) and docs/known-issues.md; no GitHub issues were filed. Completion means an evidenced project, not universal agent security.</t>
  </si>
  <si>
    <t>docs/external/agent-selection.md; evidence/tb055-agent-probes/python-probes.jsonl; evidence/tb055-agent-probes/goose-ollama.txt; evidence/tb055-agent-probes/goose-nvidia.txt; evidence/tb055-agent-probes/goose-tools.txt</t>
  </si>
  <si>
    <t>Done 2026-10-20: goose 1.55.0 selected (Apache-2.0, tag v1.55.0, commit 2bcb858, macOS arm64 artifact SHA-256 matching GitHub's digest). Criteria fixed before scoring; 10 candidates screened; shortlist goose / OpenAI Agents SDK 0.24.0 / Agno 3.1.6 all passed real tool-calling probes on local qwen3.5:9b and NVIDIA gpt-oss-20b. Core unmodified; integration only through a documented adapter (TB-057). Fallback: OpenAI Agents SDK, via a recorded amendment. Open for TB-056: classify goose's built-in load_skill tool and keep the developer extension off; Linux artifact checksum still to record for CI.</t>
  </si>
  <si>
    <t>docs/external/threat-model.md; docs/external/integration-contract.md; evidence/tb056-threat-model-check.json; evidence/tb056-goose-observations/observations.json</t>
  </si>
  <si>
    <t>Done 2026-10-20, re-audited the same day: 25 goose entry points, each classified exactly trusted (7) or untrusted (18) with its state (13 disabled) and control, covering prompts, tool outputs, memory and plugins; all 16 TB-002 surfaces mapped and all 9 TB-002 boundary rules reviewed; 8 uncovered items listed. Observed on the wire: CONTEXT_FILE_NAMES='[]' keeps AGENTS.md/.goosehints out of the prompt; --no-profile offers only load_skill plus the adapter's tools (no Developer, Computer Controller, Memory, Summon, Extension Manager); session naming off gives one request per turn; HTTP extensions are named after their URL, so the contract uses a stdio relay named trustbench (trustbench__ names observed). Contract adds a fail-closed trace rule. Designed but not yet demonstrated (owned by TB-057/058, listed as uncovered): every call through the gateway, secret scans, network confinement, native-mode proxy.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</si>
</sst>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56</v>
      </c>
      <c r="C5" s="6">
        <f>IF(A5=0,0,B5/A5)</f>
        <v>0.77777777777777779</v>
      </c>
      <c r="D5" s="5">
        <f>COUNTIFS($D$12:$D$83,"Blocked")</f>
        <v>0</v>
      </c>
      <c r="E5" s="5">
        <f>SUM($H$12:$H$83)</f>
        <v>357</v>
      </c>
      <c r="F5" s="5">
        <f>SUMIFS($H$12:$H$83,$D$12:$D$83,"&lt;&gt;Completed")</f>
        <v>116</v>
      </c>
      <c r="G5" s="6">
        <f>COUNTIFS($Q$12:$Q$83,"Core",$D$12:$D$83,"Completed")/COUNTIFS($Q$12:$Q$83,"Core")</f>
        <v>1</v>
      </c>
      <c r="H5" s="7">
        <f>IF(B7&gt;0,SUMIFS($H$12:$H$83,$Q$12:$Q$83,"Core",$D$12:$D$83,"&lt;&gt;Completed")/B7,"Set hours/week")</f>
        <v>0</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1</v>
      </c>
      <c r="E65" s="10" t="s">
        <v>492</v>
      </c>
      <c r="F65" s="10"/>
      <c r="G65" s="10" t="str">
        <f t="shared" si="2"/>
        <v>Done</v>
      </c>
      <c r="H65" s="18">
        <v>2</v>
      </c>
      <c r="I65" s="14"/>
      <c r="J65" s="16"/>
      <c r="K65" s="10" t="s">
        <v>502</v>
      </c>
      <c r="L65" s="10" t="s">
        <v>503</v>
      </c>
      <c r="M65" s="10" t="s">
        <v>504</v>
      </c>
      <c r="N65" s="10" t="s">
        <v>505</v>
      </c>
      <c r="O65" s="10" t="s">
        <v>506</v>
      </c>
      <c r="P65" s="10" t="s">
        <v>507</v>
      </c>
      <c r="Q65" s="10" t="s">
        <v>43</v>
      </c>
      <c r="R65" s="10"/>
      <c r="S65" s="14" t="s">
        <v>915</v>
      </c>
      <c r="T65" s="14" t="s">
        <v>916</v>
      </c>
      <c r="U65" s="10">
        <f t="shared" si="3"/>
        <v>1</v>
      </c>
    </row>
    <row r="66" spans="1:21" ht="64" customHeight="1">
      <c r="A66" s="10" t="s">
        <v>508</v>
      </c>
      <c r="B66" s="10" t="s">
        <v>754</v>
      </c>
      <c r="C66" s="10" t="s">
        <v>755</v>
      </c>
      <c r="D66" s="14" t="s">
        <v>1</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Done</v>
      </c>
      <c r="H66" s="18">
        <v>4</v>
      </c>
      <c r="I66" s="14"/>
      <c r="J66" s="16"/>
      <c r="K66" s="10" t="s">
        <v>756</v>
      </c>
      <c r="L66" s="10" t="s">
        <v>757</v>
      </c>
      <c r="M66" s="10" t="s">
        <v>758</v>
      </c>
      <c r="N66" s="10" t="s">
        <v>759</v>
      </c>
      <c r="O66" s="10" t="s">
        <v>760</v>
      </c>
      <c r="P66" s="10" t="s">
        <v>761</v>
      </c>
      <c r="Q66" s="10" t="s">
        <v>762</v>
      </c>
      <c r="R66" s="10" t="s">
        <v>100</v>
      </c>
      <c r="S66" s="14" t="s">
        <v>917</v>
      </c>
      <c r="T66" s="14" t="s">
        <v>918</v>
      </c>
      <c r="U66" s="10">
        <f t="shared" ref="U66:U77" si="5">IF(LEN(S66)&gt;0,1,0)</f>
        <v>1</v>
      </c>
    </row>
    <row r="67" spans="1:21" ht="64" customHeight="1">
      <c r="A67" s="10" t="s">
        <v>517</v>
      </c>
      <c r="B67" s="10" t="s">
        <v>754</v>
      </c>
      <c r="C67" s="10" t="s">
        <v>764</v>
      </c>
      <c r="D67" s="14" t="s">
        <v>1</v>
      </c>
      <c r="E67" s="10" t="s">
        <v>508</v>
      </c>
      <c r="F67" s="10" t="s">
        <v>45</v>
      </c>
      <c r="G67" s="10" t="str">
        <f t="shared" si="4"/>
        <v>Done</v>
      </c>
      <c r="H67" s="18">
        <v>4</v>
      </c>
      <c r="I67" s="14"/>
      <c r="J67" s="16"/>
      <c r="K67" s="10" t="s">
        <v>765</v>
      </c>
      <c r="L67" s="10" t="s">
        <v>766</v>
      </c>
      <c r="M67" s="10" t="s">
        <v>767</v>
      </c>
      <c r="N67" s="10" t="s">
        <v>768</v>
      </c>
      <c r="O67" s="10" t="s">
        <v>769</v>
      </c>
      <c r="P67" s="10" t="s">
        <v>770</v>
      </c>
      <c r="Q67" s="10" t="s">
        <v>762</v>
      </c>
      <c r="R67" s="10" t="s">
        <v>771</v>
      </c>
      <c r="S67" s="14" t="s">
        <v>919</v>
      </c>
      <c r="T67" s="14" t="s">
        <v>920</v>
      </c>
      <c r="U67" s="10">
        <f t="shared" si="5"/>
        <v>1</v>
      </c>
    </row>
    <row r="68" spans="1:21" ht="64" customHeight="1">
      <c r="A68" s="10" t="s">
        <v>525</v>
      </c>
      <c r="B68" s="10" t="s">
        <v>754</v>
      </c>
      <c r="C68" s="10" t="s">
        <v>841</v>
      </c>
      <c r="D68" s="14" t="s">
        <v>288</v>
      </c>
      <c r="E68" s="10" t="s">
        <v>517</v>
      </c>
      <c r="F68" s="10" t="s">
        <v>255</v>
      </c>
      <c r="G68" s="10" t="str">
        <f t="shared" si="4"/>
        <v>Ready</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6</v>
      </c>
      <c r="D99" s="11">
        <f t="shared" si="8"/>
        <v>0</v>
      </c>
      <c r="E99" s="11">
        <f t="shared" si="9"/>
        <v>0</v>
      </c>
      <c r="F99" s="11">
        <f t="shared" si="10"/>
        <v>0</v>
      </c>
      <c r="G99" s="20">
        <f t="shared" si="11"/>
        <v>1</v>
      </c>
      <c r="H99" s="11">
        <f t="shared" si="12"/>
        <v>16</v>
      </c>
      <c r="I99" s="11">
        <f t="shared" si="13"/>
        <v>0</v>
      </c>
      <c r="J99" s="11">
        <f t="shared" si="14"/>
        <v>0</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2</v>
      </c>
      <c r="D100" s="11">
        <f t="shared" ref="D100" si="17">COUNTIFS($B$12:$B$83,A100,$D$12:$D$83,"Not Started")</f>
        <v>10</v>
      </c>
      <c r="E100" s="11">
        <f t="shared" ref="E100" si="18">COUNTIFS($B$12:$B$83,A100,$D$12:$D$83,"In Progress")</f>
        <v>0</v>
      </c>
      <c r="F100" s="11">
        <f t="shared" ref="F100" si="19">COUNTIFS($B$12:$B$83,A100,$D$12:$D$83,"Blocked")</f>
        <v>0</v>
      </c>
      <c r="G100" s="20">
        <f t="shared" ref="G100" si="20">IF(B100=0,0,C100/B100)</f>
        <v>0.16666666666666666</v>
      </c>
      <c r="H100" s="11">
        <f t="shared" ref="H100" si="21">SUMIFS($H$12:$H$83,$B$12:$B$83,A100)</f>
        <v>72</v>
      </c>
      <c r="I100" s="11">
        <f>SUMIFS($H$12:$H$83,$B$12:$B$83,A100,$D$12:$D$83,"&lt;&gt;Completed")</f>
        <v>64</v>
      </c>
      <c r="J100" s="11">
        <f>COUNTIFS($B$12:$B$83,A100,$G$12:$G$83,"Ready")</f>
        <v>1</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2026-10-20T05:41:53Z</dcterms:modified>
</cp:coreProperties>
</file>