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CC23CE8D-1ABD-5F47-8218-70539C8A0110}" xr6:coauthVersionLast="47" xr6:coauthVersionMax="47" xr10:uidLastSave="{00000000-0000-0000-0000-000000000000}"/>
  <bookViews>
    <workbookView minimized="1"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U12" i="1"/>
  <c r="G14" i="1" s="1"/>
  <c r="G12" i="1"/>
  <c r="I5" i="1"/>
  <c r="H5" i="1"/>
  <c r="G5" i="1"/>
  <c r="F5" i="1"/>
  <c r="E5" i="1"/>
  <c r="D5" i="1"/>
  <c r="B5" i="1"/>
  <c r="A5" i="1"/>
  <c r="G67" i="1" l="1"/>
  <c r="G60" i="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<sst xmlns="http://schemas.openxmlformats.org/spreadsheetml/2006/main" count="1268" uniqueCount="924">
  <si>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</si>
  <si>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</si>
  <si>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</si>
  <si>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</si>
  <si>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</si>
  <si>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</si>
  <si>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</si>
  <si>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</si>
  <si>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</si>
  <si>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</si>
  <si>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</si>
  <si>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</si>
  <si>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</si>
  <si>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</si>
  <si>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</si>
  <si>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</si>
  <si>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</si>
  <si>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</si>
  <si>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</si>
  <si>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</si>
  <si>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</si>
  <si>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</si>
  <si>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</si>
  <si>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</si>
  <si>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</si>
  <si>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</si>
  <si>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</si>
  <si>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</si>
  <si>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</si>
  <si>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</si>
  <si>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</si>
  <si>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</si>
  <si>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</si>
  <si>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</si>
  <si>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</si>
  <si>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</si>
  <si>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</si>
  <si>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</si>
  <si>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</si>
  <si>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</si>
  <si>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</si>
  <si>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</si>
  <si>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</si>
  <si>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</si>
  <si>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</si>
  <si>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</si>
  <si>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</si>
  <si>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</si>
  <si>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</si>
  <si>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</si>
  <si>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</si>
  <si>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</si>
  <si>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</si>
  <si>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</si>
  <si>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</si>
  <si>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</si>
  <si>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</si>
  <si>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</si>
  <si>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</si>
  <si>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</si>
  <si>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</si>
  <si>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</si>
  <si>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</si>
  <si>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</si>
  <si>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</si>
  <si>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</si>
  <si>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</si>
  <si>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</si>
  <si>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</si>
  <si>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</si>
  <si>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</si>
  <si>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</si>
  <si>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</si>
  <si>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</si>
  <si>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</si>
  <si>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</si>
  <si>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</si>
  <si>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</si>
  <si>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</si>
  <si>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</si>
  <si>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</si>
  <si>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</si>
  <si>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</si>
  <si>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</si>
  <si>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</si>
  <si>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</si>
  <si>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</si>
  <si>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</si>
  <si>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</si>
  <si>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</si>
  <si>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</si>
  <si>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</si>
  <si>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</si>
  <si>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</si>
  <si>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</si>
  <si>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</si>
  <si>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</si>
  <si>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</si>
  <si>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</si>
  <si>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</si>
  <si>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</si>
  <si>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</si>
  <si>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</si>
  <si>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</si>
  <si>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</si>
  <si>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</si>
  <si>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</si>
  <si>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</si>
  <si>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</si>
  <si>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</si>
  <si>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</si>
  <si>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</si>
  <si>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</si>
  <si>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</si>
  <si>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</si>
  <si>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</si>
  <si>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</si>
  <si>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</si>
  <si>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</si>
  <si>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</si>
  <si>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</si>
  <si>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</si>
  <si>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</si>
  <si>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</si>
  <si>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</si>
  <si>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</si>
  <si>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</si>
  <si>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</si>
  <si>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</si>
  <si>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</si>
  <si>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</si>
  <si>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</si>
  <si>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</si>
  <si>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</si>
  <si>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</si>
  <si>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</si>
  <si>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</si>
  <si>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</si>
  <si>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</si>
  <si>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</si>
  <si>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</si>
  <si>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</si>
  <si>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</si>
  <si>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</si>
  <si>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</si>
  <si>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</si>
  <si>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</si>
  <si>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</si>
  <si>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</si>
  <si>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</si>
  <si>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</si>
  <si>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</si>
  <si>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</si>
  <si>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</si>
  <si>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</si>
  <si>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</si>
  <si>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</si>
  <si>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</si>
  <si>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</si>
  <si>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</si>
  <si>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</si>
  <si>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</si>
  <si>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</si>
  <si>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</si>
  <si>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</si>
  <si>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</si>
  <si>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</si>
  <si>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</si>
  <si>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</si>
  <si>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</si>
  <si>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</si>
  <si>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</si>
  <si>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</si>
  <si>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</si>
  <si>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</si>
  <si>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</si>
  <si>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</si>
  <si>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</si>
  <si>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</si>
  <si>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</si>
  <si>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</si>
  <si>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</si>
  <si>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</si>
  <si>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</si>
  <si>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</si>
  <si>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</si>
  <si>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</si>
  <si>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</si>
  <si>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</si>
  <si>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</si>
  <si>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</si>
  <si>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</si>
  <si>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</si>
  <si>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</si>
  <si>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</si>
  <si>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</si>
  <si>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</si>
  <si>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</si>
  <si>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</si>
  <si>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</si>
  <si>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</si>
  <si>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</si>
  <si>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</si>
  <si>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</si>
  <si>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</si>
  <si>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</si>
  <si>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</si>
  <si>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</si>
  <si>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</si>
  <si>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</si>
  <si>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</si>
  <si>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</si>
  <si>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</si>
  <si>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</si>
  <si>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</si>
  <si>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</si>
  <si>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</si>
  <si>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</si>
  <si>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</si>
  <si>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</si>
  <si>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</si>
  <si>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</si>
  <si>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</si>
  <si>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</si>
  <si>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</si>
  <si>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</si>
  <si>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</si>
  <si>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</si>
  <si>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</si>
  <si>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</si>
  <si>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</si>
  <si>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</si>
  <si>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</si>
  <si>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</si>
  <si>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</si>
  <si>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</si>
  <si>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</si>
  <si>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</si>
  <si>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</si>
  <si>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</si>
  <si>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</si>
  <si>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</si>
  <si>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</si>
  <si>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</si>
  <si>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</si>
  <si>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</si>
  <si>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</si>
  <si>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</si>
  <si>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</si>
  <si>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</si>
  <si>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</si>
  <si>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</si>
  <si>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</si>
  <si>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</si>
  <si>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</si>
  <si>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</si>
  <si>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</si>
  <si>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</si>
  <si>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</si>
  <si>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</si>
  <si>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</si>
  <si>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</si>
  <si>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</si>
  <si>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</si>
  <si>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</si>
  <si>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</si>
  <si>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</si>
  <si>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</si>
  <si>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</si>
  <si>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</si>
  <si>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</si>
  <si>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</si>
  <si>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</si>
  <si>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</si>
  <si>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</si>
  <si>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</si>
  <si>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</si>
  <si>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</si>
  <si>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</si>
  <si>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</si>
  <si>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</si>
  <si>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</si>
  <si>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</si>
  <si>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</si>
  <si>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</si>
  <si>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</si>
  <si>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</si>
  <si>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</si>
  <si>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</si>
  <si>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</si>
  <si>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</si>
  <si>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</si>
  <si>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</si>
  <si>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</si>
  <si>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</si>
  <si>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</si>
  <si>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</si>
  <si>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</si>
  <si>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</si>
  <si>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</si>
  <si>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</si>
  <si>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</si>
  <si>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</si>
  <si>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</si>
  <si>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</si>
  <si>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</si>
  <si>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</si>
  <si>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</si>
  <si>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</si>
  <si>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</si>
  <si>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</si>
  <si>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</si>
  <si>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</si>
  <si>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</si>
  <si>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</si>
  <si>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</si>
  <si>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</si>
  <si>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</si>
  <si>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</si>
  <si>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</si>
  <si>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</si>
  <si>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</si>
  <si>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</si>
  <si>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</si>
  <si>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</si>
  <si>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</si>
  <si>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</si>
  <si>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</si>
  <si>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</si>
  <si>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</si>
  <si>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</si>
  <si>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</si>
  <si>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</si>
  <si>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</si>
  <si>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</si>
  <si>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</si>
  <si>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</si>
  <si>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</si>
  <si>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</si>
  <si>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</si>
  <si>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</si>
  <si>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</si>
  <si>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</si>
  <si>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</si>
  <si>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</si>
  <si>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</si>
  <si>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</si>
  <si>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</si>
  <si>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</si>
  <si>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</si>
  <si>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</si>
  <si>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</si>
  <si>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</si>
  <si>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</si>
  <si>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</si>
  <si>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</si>
  <si>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</si>
  <si>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</si>
  <si>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</si>
  <si>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</si>
  <si>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</si>
  <si>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</si>
  <si>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</si>
  <si>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</si>
  <si>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</si>
  <si>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</si>
  <si>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</si>
  <si>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</si>
  <si>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</si>
  <si>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</si>
  <si>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</si>
  <si>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</si>
  <si>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</si>
  <si>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</si>
  <si>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</si>
  <si>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</si>
  <si>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</si>
  <si>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</si>
  <si>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</si>
  <si>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</si>
  <si>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</si>
  <si>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</si>
  <si>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</si>
  <si>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</si>
  <si>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</si>
  <si>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</si>
  <si>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</si>
  <si>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</si>
  <si>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</si>
  <si>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</si>
  <si>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</si>
  <si>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</si>
  <si>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</si>
  <si>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</si>
  <si>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</si>
  <si>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</si>
  <si>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</si>
  <si>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</si>
  <si>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</si>
  <si>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</si>
  <si>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</si>
  <si>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</si>
  <si>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</si>
  <si>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</si>
  <si>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</si>
  <si>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</si>
  <si>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</si>
  <si>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</si>
  <si>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</si>
  <si>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</si>
  <si>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</si>
  <si>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</si>
  <si>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</si>
  <si>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</si>
  <si>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</si>
  <si>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</si>
  <si>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</si>
  <si>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</si>
  <si>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</si>
  <si>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</si>
  <si>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</si>
  <si>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</si>
  <si>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</si>
  <si>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</si>
  <si>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</si>
  <si>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</si>
  <si>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</si>
  <si>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</si>
  <si>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</si>
  <si>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</si>
  <si>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</si>
  <si>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</si>
  <si>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</si>
  <si>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</si>
  <si>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</si>
  <si>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</si>
  <si>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</si>
  <si>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</si>
  <si>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</si>
  <si>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</si>
  <si>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</si>
  <si>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</si>
  <si>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</si>
  <si>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</si>
  <si>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</si>
  <si>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</si>
  <si>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</si>
  <si>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</si>
  <si>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</si>
  <si>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</si>
  <si>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</si>
  <si>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</si>
  <si>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</si>
  <si>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</si>
  <si>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</si>
  <si>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</si>
  <si>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</si>
  <si>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</si>
  <si>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</si>
  <si>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</si>
  <si>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</si>
  <si>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</si>
  <si>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</si>
  <si>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</si>
  <si>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</si>
  <si>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</si>
  <si>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</si>
  <si>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</si>
  <si>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</si>
  <si>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</si>
  <si>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</si>
  <si>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</si>
  <si>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</si>
  <si>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</si>
  <si>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</si>
  <si>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</si>
  <si>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</si>
  <si>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</si>
  <si>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</si>
  <si>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</si>
  <si>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</si>
  <si>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</si>
  <si>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</si>
  <si>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</si>
  <si>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</si>
  <si>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</si>
  <si>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</si>
  <si>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</si>
  <si>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</si>
  <si>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</si>
  <si>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</si>
  <si>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</si>
  <si>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</si>
  <si>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</si>
  <si>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</si>
  <si>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</si>
  <si>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</si>
  <si>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</si>
  <si>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</si>
  <si>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</si>
  <si>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</si>
  <si>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</si>
  <si>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</si>
  <si>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</si>
  <si>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</si>
  <si>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</si>
  <si>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</si>
  <si>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</si>
  <si>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</si>
  <si>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</si>
  <si>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</si>
  <si>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</si>
  <si>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</si>
  <si>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</si>
  <si>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</si>
  <si>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</si>
  <si>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</si>
  <si>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</si>
  <si>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</si>
  <si>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</si>
  <si>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</si>
  <si>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</si>
  <si>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</si>
  <si>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</si>
  <si>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</si>
  <si>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</si>
  <si>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</si>
  <si>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</si>
  <si>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</si>
  <si>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</si>
  <si>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</si>
  <si>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</si>
  <si>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</si>
  <si>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</si>
  <si>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</si>
  <si>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</si>
  <si>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</si>
  <si>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</si>
  <si>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</si>
  <si>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</si>
  <si>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</si>
  <si>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</si>
  <si>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</si>
  <si>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</si>
  <si>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</si>
  <si>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</si>
  <si>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</si>
  <si>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</si>
  <si>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</si>
  <si>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</si>
  <si>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</si>
  <si>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</si>
  <si>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</si>
  <si>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</si>
  <si>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</si>
  <si>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</si>
  <si>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</si>
  <si>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</si>
  <si>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</si>
  <si>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</si>
  <si>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</si>
  <si>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</si>
  <si>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</si>
  <si>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</si>
  <si>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</si>
  <si>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</si>
  <si>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</si>
  <si>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</si>
  <si>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</si>
  <si>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</si>
  <si>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</si>
  <si>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</si>
  <si>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</si>
  <si>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</si>
  <si>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</si>
  <si>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</si>
  <si>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</si>
  <si>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</si>
  <si>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</si>
  <si>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</si>
  <si>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</si>
  <si>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</si>
  <si>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</si>
  <si>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</si>
  <si>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</si>
  <si>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</si>
  <si>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</si>
  <si>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</si>
  <si>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</si>
  <si>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</si>
  <si>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</si>
  <si>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</si>
  <si>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</si>
  <si>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</si>
  <si>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</si>
  <si>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</si>
  <si>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</si>
  <si>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</si>
  <si>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</si>
  <si>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</si>
  <si>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</si>
  <si>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</si>
  <si>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</si>
  <si>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</si>
  <si>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</si>
  <si>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</si>
  <si>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</si>
  <si>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</si>
  <si>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</si>
  <si>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</si>
  <si>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</si>
  <si>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</si>
  <si>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</si>
  <si>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</si>
  <si>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</si>
  <si>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</si>
  <si>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</si>
  <si>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</si>
  <si>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</si>
  <si>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</si>
  <si>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</si>
  <si>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</si>
  <si>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</si>
  <si>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</si>
  <si>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</si>
  <si>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</si>
  <si>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</si>
  <si>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</si>
  <si>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</si>
  <si>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</si>
  <si>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</si>
  <si>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</si>
  <si>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</si>
  <si>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</si>
  <si>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</si>
  <si>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</si>
  <si>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</si>
  <si>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</si>
  <si>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</si>
  <si>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</si>
  <si>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</si>
  <si>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</si>
  <si>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</si>
  <si>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</si>
  <si>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</si>
  <si>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</si>
  <si>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</si>
  <si>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</si>
  <si>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</si>
  <si>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</si>
  <si>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</si>
  <si>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</si>
  <si>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</si>
  <si>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</si>
  <si>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</si>
  <si>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</si>
  <si>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</si>
  <si>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</si>
  <si>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</si>
  <si>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</si>
  <si>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</si>
  <si>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</si>
  <si>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</si>
  <si>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</si>
  <si>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</si>
  <si>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</si>
  <si>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</si>
  <si>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</si>
  <si>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</si>
  <si>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</si>
  <si>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</si>
  <si>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</si>
  <si>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</si>
  <si>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</si>
  <si>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</si>
  <si>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</si>
  <si>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</si>
  <si>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</si>
  <si>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</si>
  <si>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</si>
  <si>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</si>
  <si>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</si>
  <si>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</si>
  <si>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</si>
  <si>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</si>
  <si>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</si>
  <si>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</si>
  <si>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</si>
  <si>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</si>
  <si>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</si>
  <si>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</si>
  <si>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</si>
  <si>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</si>
  <si>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</si>
  <si>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</si>
  <si>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</si>
  <si>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</si>
  <si>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</si>
  <si>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</si>
  <si>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</si>
  <si>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</si>
  <si>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</si>
  <si>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</si>
  <si>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</si>
  <si>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</si>
  <si>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</si>
  <si>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</si>
  <si>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</si>
  <si>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</si>
  <si>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</si>
  <si>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</si>
  <si>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</si>
  <si>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</si>
  <si>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</si>
  <si>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</si>
  <si>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</si>
  <si>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</si>
  <si>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</si>
  <si>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</si>
  <si>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</si>
  <si>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</si>
  <si>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</si>
  <si>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</si>
  <si>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</si>
  <si>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</si>
  <si>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</si>
  <si>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</si>
  <si>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</si>
  <si>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</si>
  <si>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</si>
  <si>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</si>
  <si>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</si>
  <si>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</si>
  <si>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</si>
  <si>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</si>
  <si>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</si>
  <si>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</si>
  <si>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</si>
  <si>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</si>
  <si>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</si>
  <si>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</si>
  <si>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</si>
  <si>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</si>
  <si>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</si>
  <si>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</si>
  <si>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</si>
  <si>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</si>
  <si>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</si>
  <si>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</si>
  <si>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</si>
  <si>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</si>
  <si>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</si>
  <si>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</si>
  <si>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</si>
  <si>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</si>
  <si>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</si>
  <si>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</si>
  <si>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</si>
  <si>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</si>
  <si>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</si>
  <si>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</si>
  <si>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</si>
  <si>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</si>
  <si>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</si>
  <si>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</si>
  <si>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</si>
  <si>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</si>
  <si>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</si>
  <si>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</si>
  <si>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</si>
  <si>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</si>
  <si>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</si>
  <si>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</si>
  <si>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</si>
  <si>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</si>
  <si>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</si>
  <si>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</si>
  <si>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</si>
  <si>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</si>
  <si>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</si>
  <si>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</si>
  <si>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</si>
  <si>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</si>
  <si>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</si>
  <si>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</si>
  <si>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</si>
  <si>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</si>
  <si>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</si>
  <si>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</si>
  <si>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</si>
  <si>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</si>
  <si>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</si>
  <si>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</si>
  <si>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</si>
  <si>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</si>
  <si>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</si>
  <si>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</si>
  <si>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</si>
  <si>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</si>
  <si>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</si>
  <si>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</si>
  <si>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</si>
  <si>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</si>
  <si>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</si>
  <si>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</si>
  <si>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</si>
  <si>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</si>
  <si>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</si>
  <si>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</si>
  <si>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</si>
  <si>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</si>
  <si>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</si>
  <si>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</si>
  <si>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</si>
  <si>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</si>
  <si>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</si>
  <si>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</si>
  <si>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</si>
  <si>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</si>
  <si>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</si>
  <si>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</si>
  <si>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</si>
  <si>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</si>
  <si>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</si>
  <si>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</si>
  <si>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</si>
  <si>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</si>
  <si>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</si>
  <si>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</si>
  <si>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</si>
  <si>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</si>
  <si>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</si>
  <si>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</si>
  <si>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</si>
  <si>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</si>
  <si>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</si>
  <si>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</si>
  <si>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</si>
  <si>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</si>
  <si>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</si>
  <si>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</si>
  <si>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</si>
  <si>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</si>
  <si>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</si>
  <si>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</si>
  <si>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</si>
  <si>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</si>
  <si>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</si>
  <si>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</si>
  <si>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</si>
  <si>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</si>
  <si>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</si>
  <si>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</si>
  <si>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</si>
  <si>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</si>
  <si>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</si>
  <si>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</si>
  <si>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</si>
  <si>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</si>
  <si>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</si>
  <si>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</si>
  <si>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</si>
  <si>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</si>
  <si>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</si>
  <si>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</si>
  <si>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</si>
  <si>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</si>
  <si>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</si>
  <si>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</si>
  <si>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</si>
  <si>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</si>
  <si>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</si>
  <si>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</si>
  <si>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</si>
  <si>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</si>
  <si>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</si>
  <si>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</si>
  <si>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</si>
  <si>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</si>
  <si>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</si>
  <si>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</si>
  <si>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</si>
  <si>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</si>
  <si>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</si>
  <si>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</si>
  <si>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</si>
  <si>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</si>
  <si>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</si>
  <si>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</si>
  <si>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</si>
  <si>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</si>
  <si>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</si>
  <si>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</si>
  <si>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</si>
  <si>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</si>
  <si>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</si>
  <si>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</si>
  <si>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</si>
  <si>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</si>
  <si>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</si>
  <si>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</si>
  <si>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</si>
  <si>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</si>
  <si>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</si>
  <si>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</si>
  <si>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</si>
  <si>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</si>
  <si>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</si>
  <si>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</si>
  <si>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</si>
  <si>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</si>
  <si>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</si>
  <si>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</si>
  <si>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</si>
  <si>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</si>
  <si>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</si>
  <si>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</si>
  <si>
    <t>docs/external/agent-selection.md; evidence/tb055-agent-probes/python-probes.jsonl; evidence/tb055-agent-probes/goose-ollama.txt; evidence/tb055-agent-probes/goose-nvidia.txt; evidence/tb055-agent-probes/goose-tools.txt</t>
  </si>
  <si>
    <t>Done 2026-10-20: goose 1.55.0 selected (Apache-2.0, tag v1.55.0, commit 2bcb858, macOS arm64 artifact SHA-256 matching GitHub's digest). Criteria fixed before scoring; 10 candidates screened; shortlist goose / OpenAI Agents SDK 0.24.0 / Agno 3.1.6 all passed real tool-calling probes on local qwen3.5:9b and NVIDIA gpt-oss-20b. Core unmodified; integration only through a documented adapter (TB-057). Fallback: OpenAI Agents SDK, via a recorded amendment. Open for TB-056: classify goose's built-in load_skill tool and keep the developer extension off; Linux artifact checksum still to record for CI.</t>
  </si>
  <si>
    <t>docs/external/threat-model.md; docs/external/integration-contract.md; evidence/tb056-threat-model-check.json; evidence/tb056-goose-observations/observations.json</t>
  </si>
  <si>
    <t>Done 2026-10-20, re-audited the same day: 25 goose entry points, each classified exactly trusted (7) or untrusted (18) with its state (13 disabled) and control, covering prompts, tool outputs, memory and plugins; all 16 TB-002 surfaces mapped and all 9 TB-002 boundary rules reviewed; 8 uncovered items listed. Observed on the wire: CONTEXT_FILE_NAMES='[]' keeps AGENTS.md/.goosehints out of the prompt; --no-profile offers only load_skill plus the adapter's tools (no Developer, Computer Controller, Memory, Summon, Extension Manager); session naming off gives one request per turn; HTTP extensions are named after their URL, so the contract uses a stdio relay named trustbench (trustbench__ names observed). Contract adds a fail-closed trace rule. Designed but not yet demonstrated (owned by TB-057/058, listed as uncovered): every call through the gateway, secret scans, network confinement, native-mode proxy.</t>
  </si>
  <si>
    <t>Done</t>
  </si>
  <si>
    <t>src/external/; tests/external/adapter/; tests/external/native-integration/; docs/external/native-integration.md; evidence/tb057-unmodified.json; evidence/tb057-paired-check.json; evidence/tb057-scripted-goose/; evidence/tb057-live-goose/</t>
  </si>
  <si>
    <t xml:space="preserve">Done 2026-10-20. Mode A: goose 1.55.0 (pinned binary, unmodified) calls all 10 TrustBench tools through the MCP adapter; every trace validates against TB-004 (tests/external/adapter, 4 tests). Paired runs with goose in both arms: scripted 17/17 pairs with evaluator verdicts identical to the built-in agent; live nvidia gpt-oss-20b 4/4 valid pairs (one defended attack run ended budget_exhausted, reported as measured). Mode B: goose's own Computer Controller (goose mcp computercontroller, serverInfo goose-computercontroller 1.55.0) runs unchanged behind the TrustBench MCP gateway on a synthetic-only sandbox; allow/deny recorded per call, refused calls never forwarded, server-initiated sampling/elicitation/roots refused (tests/external/native-integration, 3 tests). Unmodified: release archive digest matches GitHub's, binary byte-identical, no goose files tracked (evidence/tb057-unmodified.json). Same paired report via the website (Live page, "Agent under test") and trustbench remote --agent external_mcp, both run on the service image built from Dockerfile.service with the pinned Linux goose; all 4 reports pass scripts/check-external-paired-report.py (evidence/tb057-paired-check.json). Contract bumped to 1.1.0 (changes listed). Not covered here: network confinement and bypass tests (TB-058); only one native integration (read-only files). The public demo instance still runs the previous image until it is redeployed.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</si>
</sst>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0"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57</v>
      </c>
      <c r="C5" s="6">
        <f>IF(A5=0,0,B5/A5)</f>
        <v>0.79166666666666663</v>
      </c>
      <c r="D5" s="5">
        <f>COUNTIFS($D$12:$D$83,"Blocked")</f>
        <v>0</v>
      </c>
      <c r="E5" s="5">
        <f>SUM($H$12:$H$83)</f>
        <v>357</v>
      </c>
      <c r="F5" s="5">
        <f>SUMIFS($H$12:$H$83,$D$12:$D$83,"&lt;&gt;Completed")</f>
        <v>104</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1</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Done</v>
      </c>
      <c r="H66" s="18">
        <v>4</v>
      </c>
      <c r="I66" s="14"/>
      <c r="J66" s="16"/>
      <c r="K66" s="10" t="s">
        <v>756</v>
      </c>
      <c r="L66" s="10" t="s">
        <v>757</v>
      </c>
      <c r="M66" s="10" t="s">
        <v>758</v>
      </c>
      <c r="N66" s="10" t="s">
        <v>759</v>
      </c>
      <c r="O66" s="10" t="s">
        <v>760</v>
      </c>
      <c r="P66" s="10" t="s">
        <v>761</v>
      </c>
      <c r="Q66" s="10" t="s">
        <v>762</v>
      </c>
      <c r="R66" s="10" t="s">
        <v>100</v>
      </c>
      <c r="S66" s="14" t="s">
        <v>917</v>
      </c>
      <c r="T66" s="14" t="s">
        <v>918</v>
      </c>
      <c r="U66" s="10">
        <f t="shared" ref="U66:U77" si="5">IF(LEN(S66)&gt;0,1,0)</f>
        <v>1</v>
      </c>
    </row>
    <row r="67" spans="1:21" ht="64" customHeight="1">
      <c r="A67" s="10" t="s">
        <v>517</v>
      </c>
      <c r="B67" s="10" t="s">
        <v>754</v>
      </c>
      <c r="C67" s="10" t="s">
        <v>764</v>
      </c>
      <c r="D67" s="14" t="s">
        <v>1</v>
      </c>
      <c r="E67" s="10" t="s">
        <v>508</v>
      </c>
      <c r="F67" s="10" t="s">
        <v>45</v>
      </c>
      <c r="G67" s="10" t="str">
        <f t="shared" si="4"/>
        <v>Done</v>
      </c>
      <c r="H67" s="18">
        <v>4</v>
      </c>
      <c r="I67" s="14"/>
      <c r="J67" s="16"/>
      <c r="K67" s="10" t="s">
        <v>765</v>
      </c>
      <c r="L67" s="10" t="s">
        <v>766</v>
      </c>
      <c r="M67" s="10" t="s">
        <v>767</v>
      </c>
      <c r="N67" s="10" t="s">
        <v>768</v>
      </c>
      <c r="O67" s="10" t="s">
        <v>769</v>
      </c>
      <c r="P67" s="10" t="s">
        <v>770</v>
      </c>
      <c r="Q67" s="10" t="s">
        <v>762</v>
      </c>
      <c r="R67" s="10" t="s">
        <v>771</v>
      </c>
      <c r="S67" s="14" t="s">
        <v>919</v>
      </c>
      <c r="T67" s="14" t="s">
        <v>920</v>
      </c>
      <c r="U67" s="10">
        <f t="shared" si="5"/>
        <v>1</v>
      </c>
    </row>
    <row r="68" spans="1:21" ht="64" customHeight="1">
      <c r="A68" s="10" t="s">
        <v>525</v>
      </c>
      <c r="B68" s="10" t="s">
        <v>754</v>
      </c>
      <c r="C68" s="10" t="s">
        <v>841</v>
      </c>
      <c r="D68" s="14" t="s">
        <v>1</v>
      </c>
      <c r="E68" s="10" t="s">
        <v>517</v>
      </c>
      <c r="F68" s="10" t="s">
        <v>255</v>
      </c>
      <c r="G68" s="10" t="s">
        <v>921</v>
      </c>
      <c r="H68" s="18">
        <v>12</v>
      </c>
      <c r="I68" s="14"/>
      <c r="J68" s="16"/>
      <c r="K68" s="10" t="s">
        <v>877</v>
      </c>
      <c r="L68" s="10" t="s">
        <v>842</v>
      </c>
      <c r="M68" s="10" t="s">
        <v>843</v>
      </c>
      <c r="N68" s="10" t="s">
        <v>878</v>
      </c>
      <c r="O68" s="10" t="s">
        <v>844</v>
      </c>
      <c r="P68" s="10" t="s">
        <v>845</v>
      </c>
      <c r="Q68" s="10" t="s">
        <v>762</v>
      </c>
      <c r="R68" s="10" t="s">
        <v>100</v>
      </c>
      <c r="S68" s="14" t="s">
        <v>922</v>
      </c>
      <c r="T68" s="14" t="s">
        <v>923</v>
      </c>
      <c r="U68" s="10">
        <v>1</v>
      </c>
    </row>
    <row r="69" spans="1:21" ht="64" customHeight="1">
      <c r="A69" s="10" t="s">
        <v>533</v>
      </c>
      <c r="B69" s="10" t="s">
        <v>754</v>
      </c>
      <c r="C69" s="10" t="s">
        <v>774</v>
      </c>
      <c r="D69" s="14" t="s">
        <v>288</v>
      </c>
      <c r="E69" s="10" t="s">
        <v>525</v>
      </c>
      <c r="F69" s="10" t="s">
        <v>225</v>
      </c>
      <c r="G69" s="10" t="str">
        <f t="shared" si="4"/>
        <v>Ready</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Ready</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3</v>
      </c>
      <c r="D100" s="11">
        <f t="shared" ref="D100" si="17">COUNTIFS($B$12:$B$83,A100,$D$12:$D$83,"Not Started")</f>
        <v>9</v>
      </c>
      <c r="E100" s="11">
        <f t="shared" ref="E100" si="18">COUNTIFS($B$12:$B$83,A100,$D$12:$D$83,"In Progress")</f>
        <v>0</v>
      </c>
      <c r="F100" s="11">
        <f t="shared" ref="F100" si="19">COUNTIFS($B$12:$B$83,A100,$D$12:$D$83,"Blocked")</f>
        <v>0</v>
      </c>
      <c r="G100" s="20">
        <f t="shared" ref="G100" si="20">IF(B100=0,0,C100/B100)</f>
        <v>0.25</v>
      </c>
      <c r="H100" s="11">
        <f t="shared" ref="H100" si="21">SUMIFS($H$12:$H$83,$B$12:$B$83,A100)</f>
        <v>72</v>
      </c>
      <c r="I100" s="11">
        <f>SUMIFS($H$12:$H$83,$B$12:$B$83,A100,$D$12:$D$83,"&lt;&gt;Completed")</f>
        <v>52</v>
      </c>
      <c r="J100" s="11">
        <f>COUNTIFS($B$12:$B$83,A100,$G$12:$G$83,"Ready")</f>
        <v>2</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2026-10-20T06:16:29Z</dcterms:modified>
</cp:coreProperties>
</file>