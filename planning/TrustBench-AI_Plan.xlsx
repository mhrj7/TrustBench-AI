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95A396AE-9654-BA4F-9EB1-091D9570BF83}"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3" i="1" l="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100" i="1" l="1"/>
  <c r="J92" i="1"/>
  <c r="J91" i="1"/>
</calcChain>
</file>

<file path=xl/sharedStrings.xml><?xml version="1.0" encoding="utf-8"?>
<sst xmlns="http://schemas.openxmlformats.org/spreadsheetml/2006/main" count="1219" uniqueCount="875">
  <si>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</si>
  <si>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</si>
  <si>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</si>
  <si>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</si>
  <si>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</si>
  <si>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</si>
  <si>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</si>
  <si>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</si>
  <si>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</si>
  <si>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</si>
  <si>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</si>
  <si>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</si>
  <si>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</si>
  <si>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</si>
  <si>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</si>
  <si>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</si>
  <si>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</si>
  <si>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</si>
  <si>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</si>
  <si>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</si>
  <si>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</si>
  <si>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</si>
  <si>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</si>
  <si>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</si>
  <si>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</si>
  <si>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</si>
  <si>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</si>
  <si>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</si>
  <si>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</si>
  <si>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</si>
  <si>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</si>
  <si>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</si>
  <si>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</si>
  <si>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</si>
  <si>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</si>
  <si>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</si>
  <si>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</si>
  <si>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</si>
  <si>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</si>
  <si>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</si>
  <si>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</si>
  <si>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</si>
  <si>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</si>
  <si>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</si>
  <si>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</si>
  <si>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</si>
  <si>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</si>
  <si>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</si>
  <si>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</si>
  <si>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</si>
  <si>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</si>
  <si>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</si>
  <si>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</si>
  <si>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</si>
  <si>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</si>
  <si>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</si>
  <si>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</si>
  <si>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</si>
  <si>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</si>
  <si>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</si>
  <si>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</si>
  <si>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</si>
  <si>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</si>
  <si>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</si>
  <si>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</si>
  <si>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</si>
  <si>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</si>
  <si>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</si>
  <si>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</si>
  <si>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</si>
  <si>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</si>
  <si>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</si>
  <si>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</si>
  <si>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</si>
  <si>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</si>
  <si>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</si>
  <si>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</si>
  <si>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</si>
  <si>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</si>
  <si>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</si>
  <si>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</si>
  <si>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</si>
  <si>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</si>
  <si>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</si>
  <si>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</si>
  <si>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</si>
  <si>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</si>
  <si>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</si>
  <si>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</si>
  <si>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</si>
  <si>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</si>
  <si>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</si>
  <si>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</si>
  <si>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</si>
  <si>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</si>
  <si>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</si>
  <si>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</si>
  <si>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</si>
  <si>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</si>
  <si>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</si>
  <si>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</si>
  <si>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</si>
  <si>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</si>
  <si>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</si>
  <si>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</si>
  <si>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</si>
  <si>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</si>
  <si>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</si>
  <si>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</si>
  <si>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</si>
  <si>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</si>
  <si>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</si>
  <si>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</si>
  <si>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</si>
  <si>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</si>
  <si>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</si>
  <si>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</si>
  <si>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</si>
  <si>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</si>
  <si>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</si>
  <si>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</si>
  <si>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</si>
  <si>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</si>
  <si>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</si>
  <si>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</si>
  <si>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</si>
  <si>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</si>
  <si>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</si>
  <si>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</si>
  <si>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</si>
  <si>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</si>
  <si>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</si>
  <si>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</si>
  <si>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</si>
  <si>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</si>
  <si>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</si>
  <si>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</si>
  <si>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</si>
  <si>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</si>
  <si>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</si>
  <si>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</si>
  <si>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</si>
  <si>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</si>
  <si>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</si>
  <si>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</si>
  <si>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</si>
  <si>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</si>
  <si>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</si>
  <si>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</si>
  <si>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</si>
  <si>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</si>
  <si>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</si>
  <si>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</si>
  <si>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</si>
  <si>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</si>
  <si>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</si>
  <si>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</si>
  <si>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</si>
  <si>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</si>
  <si>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</si>
  <si>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</si>
  <si>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</si>
  <si>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</si>
  <si>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</si>
  <si>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</si>
  <si>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</si>
  <si>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</si>
  <si>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</si>
  <si>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</si>
  <si>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</si>
  <si>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</si>
  <si>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</si>
  <si>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</si>
  <si>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</si>
  <si>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</si>
  <si>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</si>
  <si>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</si>
  <si>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</si>
  <si>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</si>
  <si>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</si>
  <si>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</si>
  <si>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</si>
  <si>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</si>
  <si>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</si>
  <si>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</si>
  <si>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</si>
  <si>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</si>
  <si>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</si>
  <si>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</si>
  <si>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</si>
  <si>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</si>
  <si>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</si>
  <si>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</si>
  <si>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</si>
  <si>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</si>
  <si>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</si>
  <si>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</si>
  <si>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</si>
  <si>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</si>
  <si>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</si>
  <si>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</si>
  <si>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</si>
  <si>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</si>
  <si>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</si>
  <si>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</si>
  <si>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</si>
  <si>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</si>
  <si>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</si>
  <si>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</si>
  <si>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</si>
  <si>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</si>
  <si>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</si>
  <si>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</si>
  <si>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</si>
  <si>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</si>
  <si>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</si>
  <si>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</si>
  <si>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</si>
  <si>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</si>
  <si>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</si>
  <si>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</si>
  <si>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</si>
  <si>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</si>
  <si>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</si>
  <si>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</si>
  <si>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</si>
  <si>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</si>
  <si>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</si>
  <si>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</si>
  <si>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</si>
  <si>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</si>
  <si>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</si>
  <si>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</si>
  <si>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</si>
  <si>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</si>
  <si>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</si>
  <si>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</si>
  <si>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</si>
  <si>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</si>
  <si>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</si>
  <si>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</si>
  <si>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</si>
  <si>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</si>
  <si>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</si>
  <si>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</si>
  <si>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</si>
  <si>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</si>
  <si>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</si>
  <si>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</si>
  <si>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</si>
  <si>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</si>
  <si>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</si>
  <si>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</si>
  <si>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</si>
  <si>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</si>
  <si>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</si>
  <si>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</si>
  <si>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</si>
  <si>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</si>
  <si>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</si>
  <si>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</si>
  <si>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</si>
  <si>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</si>
  <si>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</si>
  <si>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</si>
  <si>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</si>
  <si>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</si>
  <si>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</si>
  <si>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</si>
  <si>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</si>
  <si>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</si>
  <si>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</si>
  <si>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</si>
  <si>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</si>
  <si>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</si>
  <si>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</si>
  <si>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</si>
  <si>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</si>
  <si>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</si>
  <si>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</si>
  <si>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</si>
  <si>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</si>
  <si>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</si>
  <si>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</si>
  <si>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</si>
  <si>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</si>
  <si>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</si>
  <si>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</si>
  <si>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</si>
  <si>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</si>
  <si>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</si>
  <si>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</si>
  <si>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</si>
  <si>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</si>
  <si>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</si>
  <si>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</si>
  <si>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</si>
  <si>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</si>
  <si>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</si>
  <si>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</si>
  <si>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</si>
  <si>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</si>
  <si>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</si>
  <si>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</si>
  <si>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</si>
  <si>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</si>
  <si>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</si>
  <si>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</si>
  <si>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</si>
  <si>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</si>
  <si>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</si>
  <si>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</si>
  <si>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</si>
  <si>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</si>
  <si>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</si>
  <si>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</si>
  <si>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</si>
  <si>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</si>
  <si>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</si>
  <si>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</si>
  <si>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</si>
  <si>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</si>
  <si>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</si>
  <si>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</si>
  <si>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</si>
  <si>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</si>
  <si>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</si>
  <si>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</si>
  <si>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</si>
  <si>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</si>
  <si>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</si>
  <si>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</si>
  <si>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</si>
  <si>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</si>
  <si>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</si>
  <si>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</si>
  <si>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</si>
  <si>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</si>
  <si>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</si>
  <si>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</si>
  <si>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</si>
  <si>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</si>
  <si>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</si>
  <si>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</si>
  <si>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</si>
  <si>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</si>
  <si>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</si>
  <si>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</si>
  <si>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</si>
  <si>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</si>
  <si>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</si>
  <si>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</si>
  <si>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</si>
  <si>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</si>
  <si>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</si>
  <si>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</si>
  <si>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</si>
  <si>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</si>
  <si>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</si>
  <si>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</si>
  <si>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</si>
  <si>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</si>
  <si>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</si>
  <si>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</si>
  <si>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</si>
  <si>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</si>
  <si>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</si>
  <si>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</si>
  <si>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</si>
  <si>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</si>
  <si>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</si>
  <si>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</si>
  <si>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</si>
  <si>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</si>
  <si>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</si>
  <si>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</si>
  <si>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</si>
  <si>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</si>
  <si>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</si>
  <si>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</si>
  <si>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</si>
  <si>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</si>
  <si>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</si>
  <si>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</si>
  <si>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</si>
  <si>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</si>
  <si>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</si>
  <si>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</si>
  <si>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</si>
  <si>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</si>
  <si>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</si>
  <si>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</si>
  <si>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</si>
  <si>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</si>
  <si>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</si>
  <si>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</si>
  <si>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</si>
  <si>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</si>
  <si>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</si>
  <si>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</si>
  <si>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</si>
  <si>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</si>
  <si>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</si>
  <si>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</si>
  <si>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</si>
  <si>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</si>
  <si>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</si>
  <si>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</si>
  <si>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</si>
  <si>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</si>
  <si>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</si>
  <si>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</si>
  <si>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</si>
  <si>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</si>
  <si>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</si>
  <si>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</si>
  <si>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</si>
  <si>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</si>
  <si>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</si>
  <si>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</si>
  <si>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</si>
  <si>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</si>
  <si>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</si>
  <si>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</si>
  <si>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</si>
  <si>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</si>
  <si>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</si>
  <si>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</si>
  <si>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</si>
  <si>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</si>
  <si>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</si>
  <si>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</si>
  <si>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</si>
  <si>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</si>
  <si>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</si>
  <si>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</si>
  <si>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</si>
  <si>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</si>
  <si>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</si>
  <si>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</si>
  <si>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</si>
  <si>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</si>
  <si>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</si>
  <si>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</si>
  <si>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</si>
  <si>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</si>
  <si>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</si>
  <si>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</si>
  <si>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</si>
  <si>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</si>
  <si>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</si>
  <si>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</si>
  <si>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</si>
  <si>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</si>
  <si>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</si>
  <si>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</si>
  <si>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</si>
  <si>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</si>
  <si>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</si>
  <si>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</si>
  <si>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</si>
  <si>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</si>
  <si>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</si>
  <si>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</si>
  <si>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</si>
  <si>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</si>
  <si>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</si>
  <si>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</si>
  <si>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</si>
  <si>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</si>
  <si>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</si>
  <si>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</si>
  <si>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</si>
  <si>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</si>
  <si>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</si>
  <si>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</si>
  <si>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</si>
  <si>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</si>
  <si>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</si>
  <si>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</si>
  <si>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</si>
  <si>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</si>
  <si>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</si>
  <si>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</si>
  <si>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</si>
  <si>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</si>
  <si>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</si>
  <si>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</si>
  <si>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</si>
  <si>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</si>
  <si>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</si>
  <si>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</si>
  <si>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</si>
  <si>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</si>
  <si>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</si>
  <si>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</si>
  <si>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</si>
  <si>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</si>
  <si>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</si>
  <si>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</si>
  <si>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</si>
  <si>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</si>
  <si>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</si>
  <si>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</si>
  <si>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</si>
  <si>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</si>
  <si>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</si>
  <si>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</si>
  <si>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</si>
  <si>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</si>
  <si>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</si>
  <si>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</si>
  <si>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</si>
  <si>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</si>
  <si>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</si>
  <si>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</si>
  <si>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</si>
  <si>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</si>
  <si>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</si>
  <si>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</si>
  <si>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</si>
  <si>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</si>
  <si>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</si>
  <si>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</si>
  <si>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</si>
  <si>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</si>
  <si>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</si>
  <si>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</si>
  <si>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</si>
  <si>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</si>
  <si>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</si>
  <si>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</si>
  <si>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</si>
  <si>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</si>
  <si>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</si>
  <si>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</si>
  <si>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</si>
  <si>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</si>
  <si>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</si>
  <si>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</si>
  <si>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</si>
  <si>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</si>
  <si>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</si>
  <si>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</si>
  <si>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</si>
  <si>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</si>
  <si>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</si>
  <si>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</si>
  <si>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</si>
  <si>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</si>
  <si>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</si>
  <si>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</si>
  <si>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</si>
  <si>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</si>
  <si>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</si>
  <si>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</si>
  <si>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</si>
  <si>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</si>
  <si>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</si>
  <si>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</si>
  <si>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</si>
  <si>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</si>
  <si>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</si>
  <si>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</si>
  <si>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</si>
  <si>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</si>
  <si>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</si>
  <si>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</si>
  <si>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</si>
  <si>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</si>
  <si>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</si>
  <si>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</si>
  <si>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</si>
  <si>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</si>
  <si>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</si>
  <si>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</si>
  <si>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</si>
  <si>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</si>
  <si>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</si>
  <si>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</si>
  <si>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</si>
  <si>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</si>
  <si>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</si>
  <si>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</si>
  <si>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</si>
  <si>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</si>
  <si>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</si>
  <si>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</si>
  <si>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</si>
  <si>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</si>
  <si>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</si>
  <si>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</si>
  <si>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</si>
  <si>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</si>
  <si>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</si>
  <si>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</si>
  <si>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</si>
  <si>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</si>
  <si>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</si>
  <si>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</si>
  <si>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</si>
  <si>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</si>
  <si>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</si>
  <si>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</si>
  <si>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</si>
  <si>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</si>
  <si>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</si>
  <si>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</si>
  <si>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</si>
  <si>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</si>
  <si>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</si>
  <si>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</si>
  <si>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</si>
  <si>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</si>
  <si>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</si>
  <si>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</si>
  <si>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</si>
  <si>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</si>
  <si>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</si>
  <si>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</si>
  <si>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</si>
  <si>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</si>
  <si>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</si>
  <si>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</si>
  <si>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</si>
  <si>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</si>
  <si>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</si>
  <si>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</si>
  <si>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</si>
  <si>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</si>
  <si>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</si>
  <si>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</si>
  <si>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</si>
  <si>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</si>
  <si>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</si>
  <si>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</si>
  <si>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</si>
  <si>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</si>
  <si>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</si>
  <si>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</si>
  <si>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</si>
  <si>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</si>
  <si>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</si>
  <si>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</si>
  <si>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</si>
  <si>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</si>
  <si>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</si>
  <si>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</si>
  <si>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</si>
  <si>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</si>
  <si>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</si>
  <si>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</si>
  <si>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</si>
  <si>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</si>
  <si>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</si>
  <si>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</si>
  <si>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</si>
  <si>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</si>
  <si>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</si>
  <si>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</si>
  <si>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</si>
  <si>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</si>
  <si>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</si>
  <si>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</si>
  <si>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</si>
  <si>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</si>
  <si>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</si>
  <si>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</si>
  <si>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</si>
  <si>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</si>
  <si>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</si>
  <si>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</si>
  <si>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</si>
  <si>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</si>
  <si>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</si>
  <si>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</si>
  <si>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</si>
  <si>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</si>
  <si>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</si>
  <si>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</si>
  <si>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</si>
  <si>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</si>
  <si>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</si>
  <si>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</si>
  <si>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</si>
  <si>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</si>
  <si>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</si>
  <si>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</si>
  <si>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</si>
  <si>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</si>
  <si>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</si>
  <si>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</si>
  <si>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</si>
  <si>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</si>
  <si>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</si>
  <si>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</si>
  <si>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</si>
  <si>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</si>
  <si>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</si>
  <si>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</si>
  <si>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</si>
  <si>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</si>
  <si>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</si>
  <si>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</si>
  <si>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</si>
  <si>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</si>
  <si>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</si>
  <si>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</si>
  <si>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</si>
  <si>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</si>
  <si>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</si>
  <si>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</si>
  <si>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</si>
  <si>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</si>
  <si>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</si>
  <si>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</si>
  <si>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</si>
  <si>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</si>
  <si>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</si>
  <si>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</si>
  <si>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</si>
  <si>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</si>
  <si>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</si>
  <si>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</si>
  <si>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</si>
  <si>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</si>
  <si>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</si>
  <si>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</si>
  <si>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</si>
  <si>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</si>
  <si>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</si>
  <si>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</si>
  <si>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</si>
  <si>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</si>
  <si>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</si>
  <si>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</si>
  <si>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</si>
  <si>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</si>
  <si>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</si>
  <si>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</si>
  <si>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</si>
  <si>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</si>
  <si>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</si>
  <si>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</si>
  <si>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</si>
  <si>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</si>
  <si>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</si>
  <si>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</si>
  <si>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</si>
  <si>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</si>
  <si>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</si>
  <si>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</si>
  <si>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</si>
  <si>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</si>
  <si>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</si>
  <si>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</si>
  <si>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</si>
  <si>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</si>
  <si>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</si>
  <si>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</si>
  <si>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</si>
  <si>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</si>
  <si>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</si>
  <si>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</si>
  <si>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</si>
  <si>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</si>
  <si>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</si>
  <si>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</si>
  <si>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</si>
  <si>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</si>
  <si>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</si>
  <si>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</si>
  <si>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</si>
  <si>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</si>
  <si>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</si>
  <si>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</si>
  <si>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</si>
  <si>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</si>
  <si>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</si>
  <si>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</si>
  <si>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</si>
  <si>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</si>
  <si>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</si>
  <si>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</si>
  <si>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</si>
  <si>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</si>
  <si>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</si>
  <si>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</si>
  <si>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</si>
  <si>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</si>
  <si>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</si>
  <si>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</si>
  <si>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</si>
  <si>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</si>
  <si>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</si>
  <si>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</si>
  <si>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</si>
  <si>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</si>
  <si>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</si>
  <si>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</si>
  <si>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</si>
  <si>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</si>
  <si>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</si>
  <si>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</si>
  <si>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</si>
  <si>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</si>
  <si>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</si>
  <si>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</si>
  <si>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</si>
  <si>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</si>
  <si>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</si>
  <si>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</si>
  <si>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</si>
  <si>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</si>
  <si>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</si>
  <si>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</si>
  <si>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</si>
  <si>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</si>
  <si>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</si>
  <si>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</si>
  <si>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</si>
  <si>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</si>
  <si>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</si>
  <si>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</si>
  <si>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</si>
  <si>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</si>
  <si>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</si>
  <si>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</si>
  <si>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</si>
  <si>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</si>
  <si>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</si>
  <si>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</si>
  <si>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</si>
  <si>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</si>
  <si>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</si>
  <si>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</si>
  <si>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</si>
  <si>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</si>
  <si>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</si>
  <si>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</si>
  <si>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</si>
  <si>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</si>
  <si>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</si>
  <si>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</si>
  <si>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</si>
  <si>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</si>
  <si>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</si>
  <si>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</si>
  <si>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</si>
  <si>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</si>
  <si>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</si>
  <si>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</si>
  <si>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</si>
  <si>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</si>
  <si>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</si>
  <si>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</si>
  <si>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</si>
  <si>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</si>
  <si>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</si>
  <si>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</si>
  <si>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</si>
  <si>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</si>
  <si>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</si>
  <si>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</si>
  <si>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</si>
  <si>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</si>
  <si>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</si>
  <si>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</si>
  <si>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</si>
  <si>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</si>
  <si>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</si>
  <si>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Done 2026-10-17: frozen config (directive_flow v4, gpt-oss-20b, plain, retries override) on the sealed holdout suite (3 benign, 3 attack), 5 renderings x 6 cases x 5 repetitions from TB-028 schedules: 150/150 pairs intended, attempted and valid, 0 invalid, no outages, one response model (openai/gpt-oss-20b; provider exposes no immutable revision, response IDs recorded). Second execution refused by the runner; holdout use consumed. No comparisons reported here. Next: TB-033.</t>
  </si>
  <si>
    <t>runs/holdout/; evidence/tb032-holdout-run.json; docs/holdout-run.md; evidence/release-gate-dev.json</t>
  </si>
  <si>
    <t>reports/security-utility.csv; evidence/tb033-metrics.json; docs/security-utility.md; scripts/compute-security-utility.py; tests/evaluation/test_security_utility.py</t>
  </si>
  <si>
    <t>Done 2026-10-17: every rate recomputed from the raw TB-032 records with numerator, denominator, Wilson 95% and exclusions (0 invalid pairs), cross-checked against the runner summary; analysis code committed before it ran on the holdout. Primary (agentdojo_important_instructions): unsafe committed effect 10/15 -&gt; 3/15 (66.7% -&gt; 20.0%), benign utility 10/15 -&gt; 14/15, false blocks 0/33 permitted calls. Not hidden: defended unsafe on holdout (20%) is well above development (0%), so the defense did not fully transfer; denominators are 15 runs per arm; false-block label is tool-level only. Point-estimate co-primary rule met; confirmatory reading needs TB-034 paired intervals. Next: TB-034.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</si>
</sst>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G83" sqref="G8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33</v>
      </c>
      <c r="C5" s="6">
        <f>IF(A5=0,0,B5/A5)</f>
        <v>0.45833333333333331</v>
      </c>
      <c r="D5" s="5">
        <f>COUNTIFS($D$12:$D$83,"Blocked")</f>
        <v>0</v>
      </c>
      <c r="E5" s="5">
        <f>SUM($H$12:$H$83)</f>
        <v>357</v>
      </c>
      <c r="F5" s="5">
        <f>SUMIFS($H$12:$H$83,$D$12:$D$83,"&lt;&gt;Completed")</f>
        <v>206</v>
      </c>
      <c r="G5" s="6">
        <f>COUNTIFS($Q$12:$Q$83,"Core",$D$12:$D$83,"Completed")/COUNTIFS($Q$12:$Q$83,"Core")</f>
        <v>0.61111111111111116</v>
      </c>
      <c r="H5" s="7">
        <f>IF(B7&gt;0,SUMIFS($H$12:$H$83,$Q$12:$Q$83,"Core",$D$12:$D$83,"&lt;&gt;Completed")/B7,"Set hours/week")</f>
        <v>6.833333333333333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872</v>
      </c>
      <c r="T43" s="14" t="s">
        <v>871</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288</v>
      </c>
      <c r="E45" s="10" t="s">
        <v>336</v>
      </c>
      <c r="F45" s="10"/>
      <c r="G45" s="10" t="str">
        <f t="shared" si="2"/>
        <v>Ready</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3</v>
      </c>
      <c r="D96" s="10">
        <f t="shared" si="8"/>
        <v>3</v>
      </c>
      <c r="E96" s="10">
        <f t="shared" si="9"/>
        <v>0</v>
      </c>
      <c r="F96" s="10">
        <f t="shared" si="10"/>
        <v>0</v>
      </c>
      <c r="G96" s="21">
        <f t="shared" si="11"/>
        <v>0.5</v>
      </c>
      <c r="H96" s="10">
        <f t="shared" si="12"/>
        <v>33</v>
      </c>
      <c r="I96" s="10">
        <f t="shared" si="13"/>
        <v>16</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2026-10-16T23:21:06Z</dcterms:modified>
</cp:coreProperties>
</file>