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4630C5E4-1D0A-FD4D-9DAC-1967EC0694FC}"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8" i="1" l="1"/>
  <c r="G67" i="1"/>
  <c r="G60" i="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<sst xmlns="http://schemas.openxmlformats.org/spreadsheetml/2006/main" count="1265" uniqueCount="921">
  <si>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</si>
  <si>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</si>
  <si>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</si>
  <si>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</si>
  <si>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</si>
  <si>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</si>
  <si>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</si>
  <si>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</si>
  <si>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</si>
  <si>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</si>
  <si>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</si>
  <si>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</si>
  <si>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</si>
  <si>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</si>
  <si>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</si>
  <si>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</si>
  <si>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</si>
  <si>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</si>
  <si>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</si>
  <si>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</si>
  <si>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</si>
  <si>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</si>
  <si>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</si>
  <si>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</si>
  <si>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</si>
  <si>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</si>
  <si>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</si>
  <si>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</si>
  <si>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</si>
  <si>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</si>
  <si>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</si>
  <si>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</si>
  <si>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</si>
  <si>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</si>
  <si>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</si>
  <si>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</si>
  <si>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</si>
  <si>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</si>
  <si>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</si>
  <si>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</si>
  <si>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</si>
  <si>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</si>
  <si>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</si>
  <si>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</si>
  <si>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</si>
  <si>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</si>
  <si>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</si>
  <si>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</si>
  <si>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</si>
  <si>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</si>
  <si>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</si>
  <si>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</si>
  <si>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</si>
  <si>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</si>
  <si>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</si>
  <si>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</si>
  <si>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</si>
  <si>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</si>
  <si>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</si>
  <si>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</si>
  <si>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</si>
  <si>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</si>
  <si>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</si>
  <si>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</si>
  <si>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</si>
  <si>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</si>
  <si>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</si>
  <si>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</si>
  <si>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</si>
  <si>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</si>
  <si>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</si>
  <si>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</si>
  <si>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</si>
  <si>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</si>
  <si>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</si>
  <si>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</si>
  <si>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</si>
  <si>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</si>
  <si>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</si>
  <si>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</si>
  <si>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</si>
  <si>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</si>
  <si>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</si>
  <si>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</si>
  <si>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</si>
  <si>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</si>
  <si>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</si>
  <si>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</si>
  <si>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</si>
  <si>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</si>
  <si>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</si>
  <si>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</si>
  <si>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</si>
  <si>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</si>
  <si>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</si>
  <si>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</si>
  <si>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</si>
  <si>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</si>
  <si>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</si>
  <si>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</si>
  <si>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</si>
  <si>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</si>
  <si>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</si>
  <si>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</si>
  <si>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</si>
  <si>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</si>
  <si>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</si>
  <si>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</si>
  <si>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</si>
  <si>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</si>
  <si>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</si>
  <si>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</si>
  <si>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</si>
  <si>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</si>
  <si>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</si>
  <si>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</si>
  <si>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</si>
  <si>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</si>
  <si>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</si>
  <si>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</si>
  <si>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</si>
  <si>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</si>
  <si>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</si>
  <si>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</si>
  <si>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</si>
  <si>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</si>
  <si>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</si>
  <si>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</si>
  <si>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</si>
  <si>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</si>
  <si>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</si>
  <si>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</si>
  <si>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</si>
  <si>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</si>
  <si>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</si>
  <si>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</si>
  <si>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</si>
  <si>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</si>
  <si>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</si>
  <si>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</si>
  <si>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</si>
  <si>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</si>
  <si>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</si>
  <si>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</si>
  <si>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</si>
  <si>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</si>
  <si>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</si>
  <si>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</si>
  <si>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</si>
  <si>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</si>
  <si>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</si>
  <si>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</si>
  <si>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</si>
  <si>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</si>
  <si>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</si>
  <si>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</si>
  <si>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</si>
  <si>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</si>
  <si>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</si>
  <si>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</si>
  <si>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</si>
  <si>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</si>
  <si>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</si>
  <si>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</si>
  <si>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</si>
  <si>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</si>
  <si>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</si>
  <si>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</si>
  <si>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</si>
  <si>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</si>
  <si>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</si>
  <si>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</si>
  <si>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</si>
  <si>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</si>
  <si>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</si>
  <si>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</si>
  <si>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</si>
  <si>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</si>
  <si>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</si>
  <si>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</si>
  <si>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</si>
  <si>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</si>
  <si>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</si>
  <si>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</si>
  <si>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</si>
  <si>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</si>
  <si>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</si>
  <si>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</si>
  <si>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</si>
  <si>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</si>
  <si>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</si>
  <si>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</si>
  <si>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</si>
  <si>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</si>
  <si>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</si>
  <si>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</si>
  <si>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</si>
  <si>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</si>
  <si>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</si>
  <si>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</si>
  <si>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</si>
  <si>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</si>
  <si>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</si>
  <si>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</si>
  <si>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</si>
  <si>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</si>
  <si>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</si>
  <si>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</si>
  <si>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</si>
  <si>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</si>
  <si>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</si>
  <si>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</si>
  <si>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</si>
  <si>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</si>
  <si>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</si>
  <si>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</si>
  <si>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</si>
  <si>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</si>
  <si>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</si>
  <si>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</si>
  <si>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</si>
  <si>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</si>
  <si>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</si>
  <si>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</si>
  <si>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</si>
  <si>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</si>
  <si>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</si>
  <si>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</si>
  <si>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</si>
  <si>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</si>
  <si>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</si>
  <si>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</si>
  <si>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</si>
  <si>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</si>
  <si>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</si>
  <si>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</si>
  <si>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</si>
  <si>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</si>
  <si>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</si>
  <si>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</si>
  <si>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</si>
  <si>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</si>
  <si>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</si>
  <si>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</si>
  <si>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</si>
  <si>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</si>
  <si>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</si>
  <si>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</si>
  <si>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</si>
  <si>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</si>
  <si>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</si>
  <si>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</si>
  <si>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</si>
  <si>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</si>
  <si>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</si>
  <si>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</si>
  <si>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</si>
  <si>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</si>
  <si>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</si>
  <si>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</si>
  <si>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</si>
  <si>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</si>
  <si>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</si>
  <si>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</si>
  <si>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</si>
  <si>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</si>
  <si>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</si>
  <si>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</si>
  <si>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</si>
  <si>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</si>
  <si>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</si>
  <si>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</si>
  <si>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</si>
  <si>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</si>
  <si>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</si>
  <si>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</si>
  <si>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</si>
  <si>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</si>
  <si>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</si>
  <si>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</si>
  <si>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</si>
  <si>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</si>
  <si>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</si>
  <si>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</si>
  <si>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</si>
  <si>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</si>
  <si>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</si>
  <si>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</si>
  <si>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</si>
  <si>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</si>
  <si>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</si>
  <si>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</si>
  <si>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</si>
  <si>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</si>
  <si>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</si>
  <si>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</si>
  <si>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</si>
  <si>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</si>
  <si>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</si>
  <si>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</si>
  <si>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</si>
  <si>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</si>
  <si>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</si>
  <si>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</si>
  <si>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</si>
  <si>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</si>
  <si>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</si>
  <si>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</si>
  <si>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</si>
  <si>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</si>
  <si>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</si>
  <si>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</si>
  <si>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</si>
  <si>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</si>
  <si>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</si>
  <si>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</si>
  <si>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</si>
  <si>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</si>
  <si>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</si>
  <si>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</si>
  <si>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</si>
  <si>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</si>
  <si>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</si>
  <si>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</si>
  <si>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</si>
  <si>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</si>
  <si>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</si>
  <si>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</si>
  <si>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</si>
  <si>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</si>
  <si>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</si>
  <si>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</si>
  <si>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</si>
  <si>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</si>
  <si>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</si>
  <si>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</si>
  <si>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</si>
  <si>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</si>
  <si>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</si>
  <si>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</si>
  <si>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</si>
  <si>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</si>
  <si>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</si>
  <si>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</si>
  <si>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</si>
  <si>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</si>
  <si>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</si>
  <si>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</si>
  <si>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</si>
  <si>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</si>
  <si>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</si>
  <si>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</si>
  <si>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</si>
  <si>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</si>
  <si>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</si>
  <si>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</si>
  <si>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</si>
  <si>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</si>
  <si>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</si>
  <si>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</si>
  <si>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</si>
  <si>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</si>
  <si>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</si>
  <si>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</si>
  <si>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</si>
  <si>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</si>
  <si>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</si>
  <si>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</si>
  <si>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</si>
  <si>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</si>
  <si>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</si>
  <si>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</si>
  <si>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</si>
  <si>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</si>
  <si>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</si>
  <si>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</si>
  <si>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</si>
  <si>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</si>
  <si>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</si>
  <si>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</si>
  <si>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</si>
  <si>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</si>
  <si>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</si>
  <si>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</si>
  <si>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</si>
  <si>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</si>
  <si>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</si>
  <si>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</si>
  <si>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</si>
  <si>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</si>
  <si>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</si>
  <si>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</si>
  <si>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</si>
  <si>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</si>
  <si>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</si>
  <si>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</si>
  <si>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</si>
  <si>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</si>
  <si>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</si>
  <si>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</si>
  <si>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</si>
  <si>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</si>
  <si>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</si>
  <si>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</si>
  <si>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</si>
  <si>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</si>
  <si>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</si>
  <si>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</si>
  <si>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</si>
  <si>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</si>
  <si>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</si>
  <si>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</si>
  <si>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</si>
  <si>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</si>
  <si>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</si>
  <si>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</si>
  <si>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</si>
  <si>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</si>
  <si>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</si>
  <si>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</si>
  <si>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</si>
  <si>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</si>
  <si>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</si>
  <si>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</si>
  <si>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</si>
  <si>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</si>
  <si>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</si>
  <si>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</si>
  <si>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</si>
  <si>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</si>
  <si>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</si>
  <si>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</si>
  <si>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</si>
  <si>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</si>
  <si>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</si>
  <si>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</si>
  <si>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</si>
  <si>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</si>
  <si>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</si>
  <si>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</si>
  <si>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</si>
  <si>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</si>
  <si>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</si>
  <si>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</si>
  <si>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</si>
  <si>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</si>
  <si>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</si>
  <si>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</si>
  <si>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</si>
  <si>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</si>
  <si>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</si>
  <si>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</si>
  <si>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</si>
  <si>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</si>
  <si>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</si>
  <si>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</si>
  <si>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</si>
  <si>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</si>
  <si>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</si>
  <si>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</si>
  <si>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</si>
  <si>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</si>
  <si>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</si>
  <si>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</si>
  <si>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</si>
  <si>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</si>
  <si>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</si>
  <si>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</si>
  <si>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</si>
  <si>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</si>
  <si>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</si>
  <si>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</si>
  <si>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</si>
  <si>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</si>
  <si>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</si>
  <si>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</si>
  <si>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</si>
  <si>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</si>
  <si>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</si>
  <si>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</si>
  <si>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</si>
  <si>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</si>
  <si>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</si>
  <si>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</si>
  <si>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</si>
  <si>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</si>
  <si>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</si>
  <si>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</si>
  <si>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</si>
  <si>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</si>
  <si>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</si>
  <si>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</si>
  <si>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</si>
  <si>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</si>
  <si>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</si>
  <si>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</si>
  <si>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</si>
  <si>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</si>
  <si>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</si>
  <si>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</si>
  <si>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</si>
  <si>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</si>
  <si>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</si>
  <si>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</si>
  <si>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</si>
  <si>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</si>
  <si>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</si>
  <si>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</si>
  <si>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</si>
  <si>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</si>
  <si>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</si>
  <si>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</si>
  <si>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</si>
  <si>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</si>
  <si>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</si>
  <si>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</si>
  <si>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</si>
  <si>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</si>
  <si>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</si>
  <si>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</si>
  <si>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</si>
  <si>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</si>
  <si>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</si>
  <si>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</si>
  <si>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</si>
  <si>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</si>
  <si>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</si>
  <si>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</si>
  <si>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</si>
  <si>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</si>
  <si>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</si>
  <si>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</si>
  <si>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</si>
  <si>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</si>
  <si>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</si>
  <si>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</si>
  <si>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</si>
  <si>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</si>
  <si>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</si>
  <si>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</si>
  <si>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</si>
  <si>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</si>
  <si>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</si>
  <si>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</si>
  <si>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</si>
  <si>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</si>
  <si>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</si>
  <si>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</si>
  <si>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</si>
  <si>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</si>
  <si>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</si>
  <si>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</si>
  <si>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</si>
  <si>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</si>
  <si>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</si>
  <si>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</si>
  <si>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</si>
  <si>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</si>
  <si>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</si>
  <si>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</si>
  <si>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</si>
  <si>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</si>
  <si>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</si>
  <si>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</si>
  <si>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</si>
  <si>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</si>
  <si>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</si>
  <si>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</si>
  <si>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</si>
  <si>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</si>
  <si>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</si>
  <si>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</si>
  <si>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</si>
  <si>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</si>
  <si>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</si>
  <si>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</si>
  <si>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</si>
  <si>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</si>
  <si>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</si>
  <si>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</si>
  <si>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</si>
  <si>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</si>
  <si>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</si>
  <si>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</si>
  <si>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</si>
  <si>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</si>
  <si>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</si>
  <si>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</si>
  <si>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</si>
  <si>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</si>
  <si>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</si>
  <si>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</si>
  <si>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</si>
  <si>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</si>
  <si>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</si>
  <si>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</si>
  <si>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</si>
  <si>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</si>
  <si>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</si>
  <si>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</si>
  <si>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</si>
  <si>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</si>
  <si>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</si>
  <si>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</si>
  <si>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</si>
  <si>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</si>
  <si>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</si>
  <si>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</si>
  <si>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</si>
  <si>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</si>
  <si>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</si>
  <si>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</si>
  <si>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</si>
  <si>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</si>
  <si>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</si>
  <si>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</si>
  <si>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</si>
  <si>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</si>
  <si>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</si>
  <si>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</si>
  <si>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</si>
  <si>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</si>
  <si>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</si>
  <si>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</si>
  <si>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</si>
  <si>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</si>
  <si>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</si>
  <si>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</si>
  <si>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</si>
  <si>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</si>
  <si>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</si>
  <si>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</si>
  <si>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</si>
  <si>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</si>
  <si>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</si>
  <si>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</si>
  <si>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</si>
  <si>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</si>
  <si>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</si>
  <si>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</si>
  <si>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</si>
  <si>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</si>
  <si>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</si>
  <si>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</si>
  <si>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</si>
  <si>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</si>
  <si>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</si>
  <si>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</si>
  <si>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</si>
  <si>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</si>
  <si>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</si>
  <si>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</si>
  <si>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</si>
  <si>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</si>
  <si>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</si>
  <si>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</si>
  <si>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</si>
  <si>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</si>
  <si>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</si>
  <si>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</si>
  <si>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</si>
  <si>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</si>
  <si>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</si>
  <si>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</si>
  <si>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</si>
  <si>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</si>
  <si>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</si>
  <si>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</si>
  <si>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</si>
  <si>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</si>
  <si>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</si>
  <si>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</si>
  <si>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</si>
  <si>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</si>
  <si>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</si>
  <si>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</si>
  <si>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</si>
  <si>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</si>
  <si>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</si>
  <si>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</si>
  <si>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</si>
  <si>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</si>
  <si>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</si>
  <si>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</si>
  <si>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</si>
  <si>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</si>
  <si>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</si>
  <si>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</si>
  <si>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</si>
  <si>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</si>
  <si>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</si>
  <si>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</si>
  <si>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</si>
  <si>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</si>
  <si>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</si>
  <si>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</si>
  <si>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</si>
  <si>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</si>
  <si>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</si>
  <si>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</si>
  <si>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</si>
  <si>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</si>
  <si>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</si>
  <si>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</si>
  <si>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</si>
  <si>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</si>
  <si>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</si>
  <si>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</si>
  <si>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</si>
  <si>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</si>
  <si>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</si>
  <si>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</si>
  <si>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</si>
  <si>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</si>
  <si>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</si>
  <si>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</si>
  <si>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</si>
  <si>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</si>
  <si>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</si>
  <si>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</si>
  <si>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</si>
  <si>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</si>
  <si>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</si>
  <si>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</si>
  <si>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</si>
  <si>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</si>
  <si>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</si>
  <si>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</si>
  <si>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</si>
  <si>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</si>
  <si>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</si>
  <si>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</si>
  <si>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</si>
  <si>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</si>
  <si>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</si>
  <si>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</si>
  <si>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</si>
  <si>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</si>
  <si>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</si>
  <si>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</si>
  <si>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</si>
  <si>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</si>
  <si>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</si>
  <si>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</si>
  <si>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</si>
  <si>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</si>
  <si>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</si>
  <si>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</si>
  <si>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</si>
  <si>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</si>
  <si>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</si>
  <si>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</si>
  <si>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</si>
  <si>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</si>
  <si>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</si>
  <si>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</si>
  <si>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</si>
  <si>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</si>
  <si>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</si>
  <si>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</si>
  <si>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</si>
  <si>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</si>
  <si>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</si>
  <si>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</si>
  <si>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</si>
  <si>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</si>
  <si>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</si>
  <si>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</si>
  <si>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</si>
  <si>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</si>
  <si>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</si>
  <si>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</si>
  <si>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</si>
  <si>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</si>
  <si>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</si>
  <si>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</si>
  <si>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</si>
  <si>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</si>
  <si>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</si>
  <si>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</si>
  <si>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</si>
  <si>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</si>
  <si>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</si>
  <si>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</si>
  <si>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</si>
  <si>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</si>
  <si>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</si>
  <si>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</si>
  <si>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</si>
  <si>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</si>
  <si>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</si>
  <si>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</si>
  <si>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</si>
  <si>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</si>
  <si>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</si>
  <si>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</si>
  <si>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</si>
  <si>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</si>
  <si>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</si>
  <si>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</si>
  <si>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</si>
  <si>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</si>
  <si>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</si>
  <si>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</si>
  <si>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</si>
  <si>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</si>
  <si>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</si>
  <si>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</si>
  <si>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</si>
  <si>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</si>
  <si>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</si>
  <si>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</si>
  <si>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</si>
  <si>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</si>
  <si>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</si>
  <si>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</si>
  <si>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</si>
  <si>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</si>
  <si>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</si>
  <si>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</si>
  <si>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</si>
  <si>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</si>
  <si>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</si>
  <si>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</si>
  <si>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</si>
  <si>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</si>
  <si>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</si>
  <si>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</si>
  <si>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</si>
  <si>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</si>
  <si>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</si>
  <si>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</si>
  <si>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</si>
  <si>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</si>
  <si>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</si>
  <si>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</si>
  <si>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</si>
  <si>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</si>
  <si>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</si>
  <si>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</si>
  <si>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</si>
  <si>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</si>
  <si>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</si>
  <si>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</si>
  <si>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</si>
  <si>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</si>
  <si>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</si>
  <si>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</si>
  <si>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</si>
  <si>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</si>
  <si>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</si>
  <si>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</si>
  <si>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</si>
  <si>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</si>
  <si>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</si>
  <si>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</si>
  <si>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</si>
  <si>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</si>
  <si>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</si>
  <si>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</si>
  <si>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</si>
  <si>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</si>
  <si>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</si>
  <si>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</si>
  <si>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</si>
  <si>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</si>
  <si>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</si>
  <si>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</si>
  <si>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</si>
  <si>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</si>
  <si>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</si>
  <si>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</si>
  <si>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</si>
  <si>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</si>
  <si>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</si>
  <si>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</si>
  <si>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</si>
  <si>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</si>
  <si>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</si>
  <si>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</si>
  <si>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</si>
  <si>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</si>
  <si>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</si>
  <si>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</si>
  <si>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</si>
  <si>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</si>
  <si>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</si>
  <si>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</si>
  <si>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</si>
  <si>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</si>
  <si>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</si>
  <si>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</si>
  <si>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</si>
  <si>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</si>
  <si>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</si>
  <si>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</si>
  <si>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</si>
  <si>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</si>
  <si>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</si>
  <si>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</si>
  <si>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</si>
  <si>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</si>
  <si>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</si>
  <si>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</si>
  <si>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</si>
  <si>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</si>
  <si>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</si>
  <si>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</si>
  <si>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</si>
  <si>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</si>
  <si>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</si>
  <si>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</si>
  <si>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</si>
  <si>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</si>
  <si>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</si>
  <si>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</si>
  <si>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</si>
  <si>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</si>
  <si>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</si>
  <si>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</si>
  <si>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24 goose entry points classified (6 trusted, 6 untrusted, 12 disabled), each with its control; all 16 TB-002 surfaces mapped; 7 uncovered items listed out of scope. Key controls observed on the wire with a fake model endpoint: CONTEXT_FILE_NAMES='[]' keeps AGENTS.md/.goosehints out of the prompt; --no-profile leaves only load_skill plus the adapter's tools; session naming off gives one request per turn. Contract: adapter holds the gateway token, model proxy holds the provider key, exact invocation and allowlisted environment. Not yet demonstrated (owned by TB-057/058): every call through the gateway, network confinement, native-mode proxy, secret scans of goose artifacts.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</si>
</sst>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56</v>
      </c>
      <c r="C5" s="6">
        <f>IF(A5=0,0,B5/A5)</f>
        <v>0.77777777777777779</v>
      </c>
      <c r="D5" s="5">
        <f>COUNTIFS($D$12:$D$83,"Blocked")</f>
        <v>0</v>
      </c>
      <c r="E5" s="5">
        <f>SUM($H$12:$H$83)</f>
        <v>357</v>
      </c>
      <c r="F5" s="5">
        <f>SUMIFS($H$12:$H$83,$D$12:$D$83,"&lt;&gt;Completed")</f>
        <v>116</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288</v>
      </c>
      <c r="E68" s="10" t="s">
        <v>517</v>
      </c>
      <c r="F68" s="10" t="s">
        <v>255</v>
      </c>
      <c r="G68" s="10" t="str">
        <f t="shared" si="4"/>
        <v>Ready</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2</v>
      </c>
      <c r="D100" s="11">
        <f t="shared" ref="D100" si="17">COUNTIFS($B$12:$B$83,A100,$D$12:$D$83,"Not Started")</f>
        <v>10</v>
      </c>
      <c r="E100" s="11">
        <f t="shared" ref="E100" si="18">COUNTIFS($B$12:$B$83,A100,$D$12:$D$83,"In Progress")</f>
        <v>0</v>
      </c>
      <c r="F100" s="11">
        <f t="shared" ref="F100" si="19">COUNTIFS($B$12:$B$83,A100,$D$12:$D$83,"Blocked")</f>
        <v>0</v>
      </c>
      <c r="G100" s="20">
        <f t="shared" ref="G100" si="20">IF(B100=0,0,C100/B100)</f>
        <v>0.16666666666666666</v>
      </c>
      <c r="H100" s="11">
        <f t="shared" ref="H100" si="21">SUMIFS($H$12:$H$83,$B$12:$B$83,A100)</f>
        <v>72</v>
      </c>
      <c r="I100" s="11">
        <f>SUMIFS($H$12:$H$83,$B$12:$B$83,A100,$D$12:$D$83,"&lt;&gt;Completed")</f>
        <v>64</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2026-10-20T05:35:40Z</dcterms:modified>
</cp:coreProperties>
</file>