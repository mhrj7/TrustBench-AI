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8352D1D9-415E-F34C-A89F-6EA97493B975}" xr6:coauthVersionLast="47" xr6:coauthVersionMax="47" xr10:uidLastSave="{00000000-0000-0000-0000-000000000000}"/>
  <bookViews>
    <workbookView xWindow="0" yWindow="62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U53" i="1"/>
  <c r="G53" i="1"/>
  <c r="U52" i="1"/>
  <c r="G52" i="1"/>
  <c r="U51" i="1"/>
  <c r="G51" i="1"/>
  <c r="U50" i="1"/>
  <c r="G50" i="1"/>
  <c r="U49" i="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G46" i="1"/>
  <c r="G43" i="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<sst xmlns="http://schemas.openxmlformats.org/spreadsheetml/2006/main" count="1227" uniqueCount="883">
  <si>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</si>
  <si>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</si>
  <si>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</si>
  <si>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</si>
  <si>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</si>
  <si>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</si>
  <si>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</si>
  <si>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</si>
  <si>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</si>
  <si>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</si>
  <si>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</si>
  <si>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</si>
  <si>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</si>
  <si>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</si>
  <si>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</si>
  <si>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</si>
  <si>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</si>
  <si>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</si>
  <si>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</si>
  <si>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</si>
  <si>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</si>
  <si>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</si>
  <si>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</si>
  <si>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</si>
  <si>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</si>
  <si>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</si>
  <si>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</si>
  <si>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</si>
  <si>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</si>
  <si>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</si>
  <si>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</si>
  <si>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</si>
  <si>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</si>
  <si>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</si>
  <si>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</si>
  <si>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</si>
  <si>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</si>
  <si>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</si>
  <si>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</si>
  <si>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</si>
  <si>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</si>
  <si>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</si>
  <si>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</si>
  <si>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</si>
  <si>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</si>
  <si>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</si>
  <si>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</si>
  <si>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</si>
  <si>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</si>
  <si>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</si>
  <si>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</si>
  <si>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</si>
  <si>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</si>
  <si>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</si>
  <si>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</si>
  <si>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</si>
  <si>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</si>
  <si>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</si>
  <si>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</si>
  <si>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</si>
  <si>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</si>
  <si>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</si>
  <si>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</si>
  <si>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</si>
  <si>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</si>
  <si>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</si>
  <si>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</si>
  <si>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</si>
  <si>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</si>
  <si>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</si>
  <si>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</si>
  <si>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</si>
  <si>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</si>
  <si>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</si>
  <si>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</si>
  <si>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</si>
  <si>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</si>
  <si>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</si>
  <si>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</si>
  <si>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</si>
  <si>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</si>
  <si>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</si>
  <si>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</si>
  <si>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</si>
  <si>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</si>
  <si>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</si>
  <si>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</si>
  <si>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</si>
  <si>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</si>
  <si>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</si>
  <si>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</si>
  <si>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</si>
  <si>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</si>
  <si>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</si>
  <si>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</si>
  <si>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</si>
  <si>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</si>
  <si>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</si>
  <si>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</si>
  <si>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</si>
  <si>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</si>
  <si>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</si>
  <si>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</si>
  <si>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</si>
  <si>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</si>
  <si>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</si>
  <si>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</si>
  <si>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</si>
  <si>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</si>
  <si>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</si>
  <si>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</si>
  <si>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</si>
  <si>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</si>
  <si>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</si>
  <si>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</si>
  <si>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</si>
  <si>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</si>
  <si>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</si>
  <si>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</si>
  <si>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</si>
  <si>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</si>
  <si>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</si>
  <si>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</si>
  <si>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</si>
  <si>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</si>
  <si>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</si>
  <si>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</si>
  <si>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</si>
  <si>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</si>
  <si>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</si>
  <si>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</si>
  <si>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</si>
  <si>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</si>
  <si>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</si>
  <si>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</si>
  <si>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</si>
  <si>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</si>
  <si>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</si>
  <si>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</si>
  <si>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</si>
  <si>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</si>
  <si>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</si>
  <si>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</si>
  <si>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</si>
  <si>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</si>
  <si>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</si>
  <si>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</si>
  <si>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</si>
  <si>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</si>
  <si>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</si>
  <si>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</si>
  <si>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</si>
  <si>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</si>
  <si>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</si>
  <si>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</si>
  <si>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</si>
  <si>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</si>
  <si>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</si>
  <si>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</si>
  <si>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</si>
  <si>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</si>
  <si>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</si>
  <si>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</si>
  <si>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</si>
  <si>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</si>
  <si>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</si>
  <si>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</si>
  <si>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</si>
  <si>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</si>
  <si>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</si>
  <si>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</si>
  <si>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</si>
  <si>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</si>
  <si>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</si>
  <si>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</si>
  <si>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</si>
  <si>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</si>
  <si>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</si>
  <si>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</si>
  <si>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</si>
  <si>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</si>
  <si>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</si>
  <si>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</si>
  <si>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</si>
  <si>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</si>
  <si>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</si>
  <si>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</si>
  <si>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</si>
  <si>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</si>
  <si>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</si>
  <si>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</si>
  <si>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</si>
  <si>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</si>
  <si>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</si>
  <si>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</si>
  <si>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</si>
  <si>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</si>
  <si>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</si>
  <si>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</si>
  <si>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</si>
  <si>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</si>
  <si>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</si>
  <si>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</si>
  <si>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</si>
  <si>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</si>
  <si>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</si>
  <si>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</si>
  <si>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</si>
  <si>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</si>
  <si>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</si>
  <si>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</si>
  <si>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</si>
  <si>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</si>
  <si>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</si>
  <si>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</si>
  <si>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</si>
  <si>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</si>
  <si>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</si>
  <si>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</si>
  <si>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</si>
  <si>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</si>
  <si>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</si>
  <si>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</si>
  <si>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</si>
  <si>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</si>
  <si>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</si>
  <si>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</si>
  <si>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</si>
  <si>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</si>
  <si>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</si>
  <si>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</si>
  <si>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</si>
  <si>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</si>
  <si>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</si>
  <si>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</si>
  <si>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</si>
  <si>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</si>
  <si>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</si>
  <si>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</si>
  <si>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</si>
  <si>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</si>
  <si>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</si>
  <si>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</si>
  <si>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</si>
  <si>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</si>
  <si>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</si>
  <si>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</si>
  <si>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</si>
  <si>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</si>
  <si>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</si>
  <si>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</si>
  <si>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</si>
  <si>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</si>
  <si>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</si>
  <si>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</si>
  <si>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</si>
  <si>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</si>
  <si>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</si>
  <si>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</si>
  <si>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</si>
  <si>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</si>
  <si>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</si>
  <si>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</si>
  <si>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</si>
  <si>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</si>
  <si>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</si>
  <si>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</si>
  <si>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</si>
  <si>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</si>
  <si>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</si>
  <si>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</si>
  <si>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</si>
  <si>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</si>
  <si>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</si>
  <si>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</si>
  <si>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</si>
  <si>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</si>
  <si>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</si>
  <si>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</si>
  <si>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</si>
  <si>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</si>
  <si>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</si>
  <si>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</si>
  <si>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</si>
  <si>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</si>
  <si>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</si>
  <si>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</si>
  <si>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</si>
  <si>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</si>
  <si>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</si>
  <si>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</si>
  <si>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</si>
  <si>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</si>
  <si>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</si>
  <si>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</si>
  <si>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</si>
  <si>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</si>
  <si>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</si>
  <si>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</si>
  <si>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</si>
  <si>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</si>
  <si>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</si>
  <si>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</si>
  <si>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</si>
  <si>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</si>
  <si>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</si>
  <si>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</si>
  <si>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</si>
  <si>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</si>
  <si>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</si>
  <si>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</si>
  <si>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</si>
  <si>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</si>
  <si>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</si>
  <si>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</si>
  <si>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</si>
  <si>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</si>
  <si>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</si>
  <si>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</si>
  <si>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</si>
  <si>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</si>
  <si>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</si>
  <si>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</si>
  <si>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</si>
  <si>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</si>
  <si>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</si>
  <si>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</si>
  <si>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</si>
  <si>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</si>
  <si>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</si>
  <si>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</si>
  <si>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</si>
  <si>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</si>
  <si>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</si>
  <si>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</si>
  <si>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</si>
  <si>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</si>
  <si>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</si>
  <si>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</si>
  <si>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</si>
  <si>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</si>
  <si>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</si>
  <si>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</si>
  <si>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</si>
  <si>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</si>
  <si>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</si>
  <si>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</si>
  <si>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</si>
  <si>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</si>
  <si>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</si>
  <si>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</si>
  <si>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</si>
  <si>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</si>
  <si>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</si>
  <si>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</si>
  <si>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</si>
  <si>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</si>
  <si>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</si>
  <si>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</si>
  <si>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</si>
  <si>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</si>
  <si>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</si>
  <si>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</si>
  <si>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</si>
  <si>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</si>
  <si>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</si>
  <si>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</si>
  <si>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</si>
  <si>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</si>
  <si>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</si>
  <si>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</si>
  <si>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</si>
  <si>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</si>
  <si>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</si>
  <si>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</si>
  <si>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</si>
  <si>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</si>
  <si>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</si>
  <si>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</si>
  <si>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</si>
  <si>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</si>
  <si>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</si>
  <si>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</si>
  <si>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</si>
  <si>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</si>
  <si>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</si>
  <si>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</si>
  <si>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Add authentication, per-user run isolation, request quotas and retention/deletion jobs.</t>
  </si>
  <si>
    <t>FastAPI, secrets manager</t>
  </si>
  <si>
    <t>Synthetic multi-user test cases</t>
  </si>
  <si>
    <t>Unauthorized read/run requests fail; deletion removes linked artifacts.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</si>
  <si>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</si>
  <si>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</si>
  <si>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</si>
  <si>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</si>
  <si>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</si>
  <si>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</si>
  <si>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</si>
  <si>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</si>
  <si>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</si>
  <si>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</si>
  <si>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</si>
  <si>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</si>
  <si>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Deploy synthetic workflows with spend caps and read-only public results; keep action endpoints authenticated.</t>
  </si>
  <si>
    <t>Docker Compose, chosen host</t>
  </si>
  <si>
    <t>Synthetic demonstration suite</t>
  </si>
  <si>
    <t>Demo health check, authentication and budget limits are verified.</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</si>
  <si>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</si>
  <si>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</si>
  <si>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</si>
  <si>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</si>
  <si>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</si>
  <si>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</si>
  <si>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</si>
  <si>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</si>
  <si>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</si>
  <si>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</si>
  <si>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</si>
  <si>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</si>
  <si>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</si>
  <si>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</si>
  <si>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</si>
  <si>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</si>
  <si>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</si>
  <si>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</si>
  <si>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</si>
  <si>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</si>
  <si>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</si>
  <si>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</si>
  <si>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</si>
  <si>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</si>
  <si>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</si>
  <si>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</si>
  <si>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</si>
  <si>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</si>
  <si>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</si>
  <si>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</si>
  <si>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</si>
  <si>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</si>
  <si>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</si>
  <si>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</si>
  <si>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</si>
  <si>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</si>
  <si>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</si>
  <si>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</si>
  <si>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</si>
  <si>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</si>
  <si>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</si>
  <si>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</si>
  <si>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</si>
  <si>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</si>
  <si>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</si>
  <si>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</si>
  <si>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</si>
  <si>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</si>
  <si>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</si>
  <si>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</si>
  <si>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</si>
  <si>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</si>
  <si>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</si>
  <si>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</si>
  <si>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</si>
  <si>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</si>
  <si>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</si>
  <si>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</si>
  <si>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</si>
  <si>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</si>
  <si>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</si>
  <si>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</si>
  <si>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Diagram trust boundaries and record a benign run, blocked attack, failure trace and release-gate example.</t>
  </si>
  <si>
    <t>Mermaid, screen recording</t>
  </si>
  <si>
    <t>Synthetic demo</t>
  </si>
  <si>
    <t>Walkthrough explains each result and its underlying evidence.</t>
  </si>
  <si>
    <t>docs/architecture.md and demo video</t>
  </si>
  <si>
    <t>Do not stage fake measured outcomes.</t>
  </si>
  <si>
    <t>TB-050</t>
  </si>
  <si>
    <t>Document setup and troubleshooting</t>
  </si>
  <si>
    <t>Provide install, API key setup, budget controls, expected smoke outputs and failure recovery instructions.</t>
  </si>
  <si>
    <t>README</t>
  </si>
  <si>
    <t>Clean-environment installation</t>
  </si>
  <si>
    <t>A fresh user can follow the instructions without hidden local files.</t>
  </si>
  <si>
    <t>README.md</t>
  </si>
  <si>
    <t>Document minimum tested environment only.</t>
  </si>
  <si>
    <t>TB-051</t>
  </si>
  <si>
    <t>Run final clean-checkout verification</t>
  </si>
  <si>
    <t>Install locked dependencies, run fixtures and regression checks, rebuild demo and verify linked reports.</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</si>
  <si>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</si>
  <si>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</si>
  <si>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</si>
  <si>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</si>
  <si>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</si>
  <si>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</si>
  <si>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</si>
  <si>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</si>
  <si>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</si>
  <si>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</si>
  <si>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</si>
  <si>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</si>
  <si>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</si>
  <si>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</si>
  <si>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</si>
  <si>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</si>
  <si>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</si>
  <si>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</si>
  <si>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</si>
  <si>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</si>
  <si>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</si>
  <si>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</si>
  <si>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</si>
  <si>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</si>
  <si>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</si>
  <si>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</si>
  <si>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</si>
  <si>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</si>
  <si>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</si>
  <si>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</si>
  <si>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</si>
  <si>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</si>
  <si>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</si>
  <si>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</si>
  <si>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</si>
  <si>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</si>
  <si>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</si>
  <si>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</si>
  <si>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</si>
  <si>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</si>
  <si>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</si>
  <si>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</si>
  <si>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</si>
  <si>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</si>
  <si>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</si>
  <si>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</si>
  <si>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</si>
  <si>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</si>
  <si>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</si>
  <si>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</si>
  <si>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</si>
  <si>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</si>
  <si>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</si>
  <si>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</si>
  <si>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</si>
  <si>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</si>
  <si>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</si>
  <si>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</si>
  <si>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</si>
  <si>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</si>
  <si>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</si>
  <si>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</si>
  <si>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</si>
  <si>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</si>
  <si>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</si>
  <si>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</si>
  <si>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</si>
  <si>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</si>
  <si>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</si>
  <si>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</si>
  <si>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</si>
  <si>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</si>
  <si>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</si>
  <si>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</si>
  <si>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</si>
  <si>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</si>
  <si>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</si>
  <si>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</si>
  <si>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</si>
  <si>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</si>
  <si>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</si>
  <si>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</si>
  <si>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</si>
  <si>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</si>
  <si>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</si>
  <si>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</si>
  <si>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</si>
  <si>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</si>
  <si>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</si>
  <si>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</si>
  <si>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</si>
  <si>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</si>
  <si>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</si>
  <si>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</si>
  <si>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</si>
  <si>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</si>
  <si>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</si>
  <si>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</si>
  <si>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</si>
  <si>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</si>
  <si>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</si>
  <si>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</si>
  <si>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</si>
  <si>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</si>
  <si>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</si>
  <si>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</si>
  <si>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</si>
  <si>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</si>
  <si>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</si>
  <si>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</si>
  <si>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</si>
  <si>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</si>
  <si>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</si>
  <si>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</si>
  <si>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</si>
  <si>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</si>
  <si>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</si>
  <si>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</si>
  <si>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</si>
  <si>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</si>
  <si>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</si>
  <si>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</si>
  <si>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</si>
  <si>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</si>
  <si>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</si>
  <si>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</si>
  <si>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</si>
  <si>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</si>
  <si>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</si>
  <si>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</si>
  <si>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</si>
  <si>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</si>
  <si>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</si>
  <si>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</si>
  <si>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</si>
  <si>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</si>
  <si>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</si>
  <si>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</si>
  <si>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</si>
  <si>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</si>
  <si>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</si>
  <si>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</si>
  <si>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</si>
  <si>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</si>
  <si>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</si>
  <si>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</si>
  <si>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</si>
  <si>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</si>
  <si>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</si>
  <si>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</si>
  <si>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</si>
  <si>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</si>
  <si>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</si>
  <si>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</si>
  <si>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</si>
  <si>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</si>
  <si>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</si>
  <si>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</si>
  <si>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</si>
  <si>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</si>
  <si>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</si>
  <si>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</si>
  <si>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</si>
  <si>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</si>
  <si>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</si>
  <si>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</si>
  <si>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</si>
  <si>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</si>
  <si>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</si>
  <si>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</si>
  <si>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</si>
  <si>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</si>
  <si>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</si>
  <si>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</si>
  <si>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</si>
  <si>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</si>
  <si>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</si>
  <si>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</si>
  <si>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</si>
  <si>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</si>
  <si>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</si>
  <si>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</si>
  <si>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</si>
  <si>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</si>
  <si>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</si>
  <si>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</si>
  <si>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</si>
  <si>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</si>
  <si>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</si>
  <si>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</si>
  <si>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</si>
  <si>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</si>
  <si>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</si>
  <si>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</si>
  <si>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</si>
  <si>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</si>
  <si>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</si>
  <si>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</si>
  <si>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</si>
  <si>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</si>
  <si>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</si>
  <si>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</si>
  <si>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</si>
  <si>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</si>
  <si>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</si>
  <si>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</si>
  <si>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</si>
  <si>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</si>
  <si>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</si>
  <si>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</si>
  <si>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</si>
  <si>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</si>
  <si>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</si>
  <si>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</si>
  <si>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</si>
  <si>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</si>
  <si>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</si>
  <si>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</si>
  <si>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</si>
  <si>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</si>
  <si>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</si>
  <si>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</si>
  <si>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</si>
  <si>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</si>
  <si>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</si>
  <si>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</si>
  <si>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</si>
  <si>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</si>
  <si>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</si>
  <si>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</si>
  <si>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</si>
  <si>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</si>
  <si>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</si>
  <si>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</si>
  <si>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</si>
  <si>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</si>
  <si>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</si>
  <si>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</si>
  <si>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</si>
  <si>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</si>
  <si>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</si>
  <si>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</si>
  <si>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</si>
  <si>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</si>
  <si>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</si>
  <si>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</si>
  <si>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</si>
  <si>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</si>
  <si>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</si>
  <si>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</si>
  <si>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</si>
  <si>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</si>
  <si>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</si>
  <si>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</si>
  <si>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</si>
  <si>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</si>
  <si>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</si>
  <si>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</si>
  <si>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</si>
  <si>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</si>
  <si>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</si>
  <si>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</si>
  <si>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</si>
  <si>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</si>
  <si>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</si>
  <si>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</si>
  <si>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</si>
  <si>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</si>
  <si>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</si>
  <si>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</si>
  <si>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</si>
  <si>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</si>
  <si>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</si>
  <si>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</si>
  <si>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</si>
  <si>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</si>
  <si>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</si>
  <si>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</si>
  <si>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</si>
  <si>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</si>
  <si>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</si>
  <si>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</si>
  <si>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</si>
  <si>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</si>
  <si>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</si>
  <si>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</si>
  <si>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</si>
  <si>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</si>
  <si>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</si>
  <si>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</si>
  <si>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</si>
  <si>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</si>
  <si>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</si>
  <si>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</si>
  <si>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</si>
  <si>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</si>
  <si>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</si>
  <si>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</si>
  <si>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</si>
  <si>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</si>
  <si>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</si>
  <si>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</si>
  <si>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</si>
  <si>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</si>
  <si>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</si>
  <si>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</si>
  <si>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</si>
  <si>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</si>
  <si>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</si>
  <si>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</si>
  <si>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Run scripted (mock-model) conformance tests for the adapter, then a small live smoke run on the development split with both arms (agent alone, agent behind the gateway). Check traces, evaluator verdicts, spans and redaction end to end.</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</si>
  <si>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</si>
  <si>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</si>
  <si>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</si>
  <si>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</si>
  <si>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</si>
  <si>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</si>
  <si>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</si>
  <si>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</si>
  <si>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</si>
  <si>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</si>
  <si>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</si>
  <si>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</si>
  <si>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</si>
  <si>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</si>
  <si>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</si>
  <si>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</si>
  <si>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</si>
  <si>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</si>
  <si>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</si>
  <si>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</si>
  <si>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</si>
  <si>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</si>
  <si>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</si>
  <si>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</si>
  <si>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</si>
  <si>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</si>
  <si>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</si>
  <si>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</si>
  <si>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</si>
  <si>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</si>
  <si>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</si>
  <si>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</si>
  <si>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</si>
  <si>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</si>
  <si>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</si>
  <si>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</si>
  <si>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Write what transferred and what did not, negative results, uncovered entry points, the agent behaviours that weakened or strengthened the controls, and a step-by-step guide for wrapping another agent. Add the external results to the review site.</t>
  </si>
  <si>
    <t>docs/, web/</t>
  </si>
  <si>
    <t>Limitations section lists every uncovered entry point and failed check; the guide is followed once on a clean checkout; claims stay within the measured scope.</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</si>
  <si>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</si>
  <si>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</si>
  <si>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</si>
  <si>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</si>
  <si>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</si>
  <si>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</si>
  <si>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</si>
  <si>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</si>
  <si>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</si>
  <si>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</si>
  <si>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</si>
  <si>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</si>
  <si>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</si>
  <si>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</si>
  <si>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</si>
  <si>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</si>
  <si>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t>
  </si>
  <si>
    <t>Agent SDK or MCP, src/gateway, TypeScript or Python adapter, Docker (sandboxed database or mock API)</t>
  </si>
  <si>
    <t>Integration contract (TB-056); gateway and tool services; the agent's native tool integration and a synthetic sandbox instance for it</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</si>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</sst>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42" activePane="bottomRight" state="frozen"/>
      <selection pane="topRight"/>
      <selection pane="bottomLeft"/>
      <selection pane="bottomRight" activeCell="D47" sqref="D47"/>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755</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37</v>
      </c>
      <c r="C5" s="6">
        <f>IF(A5=0,0,B5/A5)</f>
        <v>0.51388888888888884</v>
      </c>
      <c r="D5" s="5">
        <f>COUNTIFS($D$12:$D$83,"Blocked")</f>
        <v>0</v>
      </c>
      <c r="E5" s="5">
        <f>SUM($H$12:$H$83)</f>
        <v>357</v>
      </c>
      <c r="F5" s="5">
        <f>SUMIFS($H$12:$H$83,$D$12:$D$83,"&lt;&gt;Completed")</f>
        <v>186</v>
      </c>
      <c r="G5" s="6">
        <f>COUNTIFS($Q$12:$Q$83,"Core",$D$12:$D$83,"Completed")/COUNTIFS($Q$12:$Q$83,"Core")</f>
        <v>0.68518518518518523</v>
      </c>
      <c r="H5" s="7">
        <f>IF(B7&gt;0,SUMIFS($H$12:$H$83,$Q$12:$Q$83,"Core",$D$12:$D$83,"&lt;&gt;Completed")/B7,"Set hours/week")</f>
        <v>5.166666666666667</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839</v>
      </c>
      <c r="B8" s="9" t="s">
        <v>840</v>
      </c>
      <c r="C8" s="9" t="s">
        <v>841</v>
      </c>
      <c r="D8" s="9" t="s">
        <v>842</v>
      </c>
      <c r="E8" s="9" t="s">
        <v>843</v>
      </c>
      <c r="F8" s="9" t="s">
        <v>844</v>
      </c>
      <c r="G8" s="9" t="s">
        <v>845</v>
      </c>
      <c r="H8" s="9" t="s">
        <v>846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751</v>
      </c>
      <c r="T38" s="14" t="s">
        <v>752</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753</v>
      </c>
      <c r="T39" s="14" t="s">
        <v>754</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756</v>
      </c>
      <c r="T40" s="14" t="s">
        <v>757</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758</v>
      </c>
      <c r="T41" s="14" t="s">
        <v>759</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849</v>
      </c>
      <c r="T42" s="13" t="s">
        <v>850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871</v>
      </c>
      <c r="T43" s="14" t="s">
        <v>872</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873</v>
      </c>
      <c r="T44" s="14" t="s">
        <v>874</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875</v>
      </c>
      <c r="T45" s="14" t="s">
        <v>876</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877</v>
      </c>
      <c r="T46" s="14" t="s">
        <v>878</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879</v>
      </c>
      <c r="T47" s="14" t="s">
        <v>880</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881</v>
      </c>
      <c r="T48" s="13" t="s">
        <v>882</v>
      </c>
      <c r="U48" s="10">
        <f t="shared" si="3"/>
        <v>1</v>
      </c>
    </row>
    <row r="49" spans="1:21" ht="64" customHeight="1">
      <c r="A49" s="10" t="s">
        <v>377</v>
      </c>
      <c r="B49" s="10" t="s">
        <v>369</v>
      </c>
      <c r="C49" s="10" t="s">
        <v>378</v>
      </c>
      <c r="D49" s="14" t="s">
        <v>288</v>
      </c>
      <c r="E49" s="10" t="s">
        <v>368</v>
      </c>
      <c r="F49" s="10"/>
      <c r="G49" s="10" t="str">
        <f t="shared" si="2"/>
        <v>Ready</v>
      </c>
      <c r="H49" s="18">
        <v>5</v>
      </c>
      <c r="I49" s="14"/>
      <c r="J49" s="16"/>
      <c r="K49" s="10" t="s">
        <v>379</v>
      </c>
      <c r="L49" s="10" t="s">
        <v>380</v>
      </c>
      <c r="M49" s="10" t="s">
        <v>381</v>
      </c>
      <c r="N49" s="10" t="s">
        <v>382</v>
      </c>
      <c r="O49" s="10" t="s">
        <v>383</v>
      </c>
      <c r="P49" s="10" t="s">
        <v>384</v>
      </c>
      <c r="Q49" s="10" t="s">
        <v>43</v>
      </c>
      <c r="R49" s="10"/>
      <c r="S49" s="14"/>
      <c r="T49" s="14"/>
      <c r="U49" s="10">
        <f t="shared" si="3"/>
        <v>0</v>
      </c>
    </row>
    <row r="50" spans="1:21" ht="64" customHeight="1">
      <c r="A50" s="11" t="s">
        <v>385</v>
      </c>
      <c r="B50" s="11" t="s">
        <v>369</v>
      </c>
      <c r="C50" s="11" t="s">
        <v>386</v>
      </c>
      <c r="D50" s="14" t="s">
        <v>288</v>
      </c>
      <c r="E50" s="11" t="s">
        <v>377</v>
      </c>
      <c r="F50" s="11"/>
      <c r="G50" s="11" t="str">
        <f t="shared" si="2"/>
        <v>Waiting</v>
      </c>
      <c r="H50" s="18">
        <v>4</v>
      </c>
      <c r="I50" s="14"/>
      <c r="J50" s="16"/>
      <c r="K50" s="11" t="s">
        <v>387</v>
      </c>
      <c r="L50" s="11" t="s">
        <v>388</v>
      </c>
      <c r="M50" s="11" t="s">
        <v>389</v>
      </c>
      <c r="N50" s="11" t="s">
        <v>390</v>
      </c>
      <c r="O50" s="11" t="s">
        <v>391</v>
      </c>
      <c r="P50" s="11" t="s">
        <v>392</v>
      </c>
      <c r="Q50" s="11" t="s">
        <v>43</v>
      </c>
      <c r="R50" s="11"/>
      <c r="S50" s="14"/>
      <c r="T50" s="14"/>
      <c r="U50" s="10">
        <f t="shared" si="3"/>
        <v>0</v>
      </c>
    </row>
    <row r="51" spans="1:21" ht="64" customHeight="1">
      <c r="A51" s="10" t="s">
        <v>393</v>
      </c>
      <c r="B51" s="10" t="s">
        <v>369</v>
      </c>
      <c r="C51" s="10" t="s">
        <v>394</v>
      </c>
      <c r="D51" s="14" t="s">
        <v>288</v>
      </c>
      <c r="E51" s="10" t="s">
        <v>385</v>
      </c>
      <c r="F51" s="10"/>
      <c r="G51" s="10" t="str">
        <f t="shared" si="2"/>
        <v>Waiting</v>
      </c>
      <c r="H51" s="18">
        <v>5</v>
      </c>
      <c r="I51" s="14"/>
      <c r="J51" s="16"/>
      <c r="K51" s="10" t="s">
        <v>395</v>
      </c>
      <c r="L51" s="10" t="s">
        <v>396</v>
      </c>
      <c r="M51" s="10" t="s">
        <v>397</v>
      </c>
      <c r="N51" s="10" t="s">
        <v>398</v>
      </c>
      <c r="O51" s="10" t="s">
        <v>399</v>
      </c>
      <c r="P51" s="10" t="s">
        <v>400</v>
      </c>
      <c r="Q51" s="10" t="s">
        <v>43</v>
      </c>
      <c r="R51" s="10"/>
      <c r="S51" s="14"/>
      <c r="T51" s="14"/>
      <c r="U51" s="10">
        <f t="shared" si="3"/>
        <v>0</v>
      </c>
    </row>
    <row r="52" spans="1:21" ht="64" customHeight="1">
      <c r="A52" s="11" t="s">
        <v>401</v>
      </c>
      <c r="B52" s="11" t="s">
        <v>369</v>
      </c>
      <c r="C52" s="11" t="s">
        <v>402</v>
      </c>
      <c r="D52" s="14" t="s">
        <v>288</v>
      </c>
      <c r="E52" s="11" t="s">
        <v>393</v>
      </c>
      <c r="F52" s="11"/>
      <c r="G52" s="11" t="str">
        <f t="shared" si="2"/>
        <v>Waiting</v>
      </c>
      <c r="H52" s="18">
        <v>4</v>
      </c>
      <c r="I52" s="14"/>
      <c r="J52" s="16"/>
      <c r="K52" s="11" t="s">
        <v>403</v>
      </c>
      <c r="L52" s="11" t="s">
        <v>404</v>
      </c>
      <c r="M52" s="11" t="s">
        <v>405</v>
      </c>
      <c r="N52" s="11" t="s">
        <v>406</v>
      </c>
      <c r="O52" s="11" t="s">
        <v>407</v>
      </c>
      <c r="P52" s="11" t="s">
        <v>408</v>
      </c>
      <c r="Q52" s="11" t="s">
        <v>43</v>
      </c>
      <c r="R52" s="11"/>
      <c r="S52" s="14"/>
      <c r="T52" s="14"/>
      <c r="U52" s="10">
        <f t="shared" si="3"/>
        <v>0</v>
      </c>
    </row>
    <row r="53" spans="1:21" ht="64" customHeight="1">
      <c r="A53" s="10" t="s">
        <v>409</v>
      </c>
      <c r="B53" s="10" t="s">
        <v>369</v>
      </c>
      <c r="C53" s="10" t="s">
        <v>410</v>
      </c>
      <c r="D53" s="14" t="s">
        <v>288</v>
      </c>
      <c r="E53" s="10" t="s">
        <v>401</v>
      </c>
      <c r="F53" s="10"/>
      <c r="G53" s="10" t="str">
        <f t="shared" si="2"/>
        <v>Waiting</v>
      </c>
      <c r="H53" s="18">
        <v>3</v>
      </c>
      <c r="I53" s="14"/>
      <c r="J53" s="16"/>
      <c r="K53" s="10" t="s">
        <v>411</v>
      </c>
      <c r="L53" s="10" t="s">
        <v>412</v>
      </c>
      <c r="M53" s="10" t="s">
        <v>413</v>
      </c>
      <c r="N53" s="10" t="s">
        <v>414</v>
      </c>
      <c r="O53" s="10" t="s">
        <v>415</v>
      </c>
      <c r="P53" s="10" t="s">
        <v>416</v>
      </c>
      <c r="Q53" s="10" t="s">
        <v>43</v>
      </c>
      <c r="R53" s="10"/>
      <c r="S53" s="14"/>
      <c r="T53" s="14"/>
      <c r="U53" s="10">
        <f t="shared" si="3"/>
        <v>0</v>
      </c>
    </row>
    <row r="54" spans="1:21" ht="64" customHeight="1">
      <c r="A54" s="12" t="s">
        <v>417</v>
      </c>
      <c r="B54" s="12" t="s">
        <v>418</v>
      </c>
      <c r="C54" s="12" t="s">
        <v>419</v>
      </c>
      <c r="D54" s="13" t="s">
        <v>288</v>
      </c>
      <c r="E54" s="12" t="s">
        <v>360</v>
      </c>
      <c r="F54" s="12"/>
      <c r="G54" s="12" t="str">
        <f t="shared" si="2"/>
        <v>Ready</v>
      </c>
      <c r="H54" s="17">
        <v>4</v>
      </c>
      <c r="I54" s="13"/>
      <c r="J54" s="15"/>
      <c r="K54" s="12" t="s">
        <v>420</v>
      </c>
      <c r="L54" s="12" t="s">
        <v>421</v>
      </c>
      <c r="M54" s="12" t="s">
        <v>422</v>
      </c>
      <c r="N54" s="12" t="s">
        <v>423</v>
      </c>
      <c r="O54" s="12" t="s">
        <v>424</v>
      </c>
      <c r="P54" s="12" t="s">
        <v>425</v>
      </c>
      <c r="Q54" s="12" t="s">
        <v>43</v>
      </c>
      <c r="R54" s="12" t="s">
        <v>53</v>
      </c>
      <c r="S54" s="13"/>
      <c r="T54" s="13"/>
      <c r="U54" s="10">
        <f t="shared" si="3"/>
        <v>0</v>
      </c>
    </row>
    <row r="55" spans="1:21" ht="64" customHeight="1">
      <c r="A55" s="10" t="s">
        <v>426</v>
      </c>
      <c r="B55" s="10" t="s">
        <v>418</v>
      </c>
      <c r="C55" s="10" t="s">
        <v>427</v>
      </c>
      <c r="D55" s="14" t="s">
        <v>288</v>
      </c>
      <c r="E55" s="10" t="s">
        <v>417</v>
      </c>
      <c r="F55" s="10"/>
      <c r="G55" s="10" t="str">
        <f t="shared" si="2"/>
        <v>Waiting</v>
      </c>
      <c r="H55" s="18">
        <v>5</v>
      </c>
      <c r="I55" s="14"/>
      <c r="J55" s="16"/>
      <c r="K55" s="10" t="s">
        <v>428</v>
      </c>
      <c r="L55" s="10" t="s">
        <v>429</v>
      </c>
      <c r="M55" s="10" t="s">
        <v>430</v>
      </c>
      <c r="N55" s="10" t="s">
        <v>431</v>
      </c>
      <c r="O55" s="10" t="s">
        <v>432</v>
      </c>
      <c r="P55" s="10" t="s">
        <v>433</v>
      </c>
      <c r="Q55" s="10" t="s">
        <v>43</v>
      </c>
      <c r="R55" s="10"/>
      <c r="S55" s="14"/>
      <c r="T55" s="14"/>
      <c r="U55" s="10">
        <f t="shared" si="3"/>
        <v>0</v>
      </c>
    </row>
    <row r="56" spans="1:21" ht="64" customHeight="1">
      <c r="A56" s="11" t="s">
        <v>434</v>
      </c>
      <c r="B56" s="11" t="s">
        <v>418</v>
      </c>
      <c r="C56" s="11" t="s">
        <v>435</v>
      </c>
      <c r="D56" s="14" t="s">
        <v>288</v>
      </c>
      <c r="E56" s="11" t="s">
        <v>426</v>
      </c>
      <c r="F56" s="11"/>
      <c r="G56" s="11" t="str">
        <f t="shared" si="2"/>
        <v>Waiting</v>
      </c>
      <c r="H56" s="18">
        <v>4</v>
      </c>
      <c r="I56" s="14"/>
      <c r="J56" s="16"/>
      <c r="K56" s="11" t="s">
        <v>436</v>
      </c>
      <c r="L56" s="11" t="s">
        <v>437</v>
      </c>
      <c r="M56" s="11" t="s">
        <v>438</v>
      </c>
      <c r="N56" s="11" t="s">
        <v>439</v>
      </c>
      <c r="O56" s="11" t="s">
        <v>440</v>
      </c>
      <c r="P56" s="11" t="s">
        <v>441</v>
      </c>
      <c r="Q56" s="11" t="s">
        <v>43</v>
      </c>
      <c r="R56" s="11"/>
      <c r="S56" s="14"/>
      <c r="T56" s="14"/>
      <c r="U56" s="10">
        <f t="shared" si="3"/>
        <v>0</v>
      </c>
    </row>
    <row r="57" spans="1:21" ht="64" customHeight="1">
      <c r="A57" s="10" t="s">
        <v>442</v>
      </c>
      <c r="B57" s="10" t="s">
        <v>418</v>
      </c>
      <c r="C57" s="10" t="s">
        <v>443</v>
      </c>
      <c r="D57" s="14" t="s">
        <v>288</v>
      </c>
      <c r="E57" s="10" t="s">
        <v>434</v>
      </c>
      <c r="F57" s="10"/>
      <c r="G57" s="10" t="str">
        <f t="shared" si="2"/>
        <v>Waiting</v>
      </c>
      <c r="H57" s="18">
        <v>4</v>
      </c>
      <c r="I57" s="14"/>
      <c r="J57" s="16"/>
      <c r="K57" s="10" t="s">
        <v>444</v>
      </c>
      <c r="L57" s="10" t="s">
        <v>445</v>
      </c>
      <c r="M57" s="10" t="s">
        <v>446</v>
      </c>
      <c r="N57" s="10" t="s">
        <v>447</v>
      </c>
      <c r="O57" s="10" t="s">
        <v>448</v>
      </c>
      <c r="P57" s="10" t="s">
        <v>449</v>
      </c>
      <c r="Q57" s="10" t="s">
        <v>43</v>
      </c>
      <c r="R57" s="10"/>
      <c r="S57" s="14"/>
      <c r="T57" s="14"/>
      <c r="U57" s="10">
        <f t="shared" si="3"/>
        <v>0</v>
      </c>
    </row>
    <row r="58" spans="1:21" ht="64" customHeight="1">
      <c r="A58" s="11" t="s">
        <v>450</v>
      </c>
      <c r="B58" s="11" t="s">
        <v>418</v>
      </c>
      <c r="C58" s="11" t="s">
        <v>451</v>
      </c>
      <c r="D58" s="14" t="s">
        <v>288</v>
      </c>
      <c r="E58" s="11" t="s">
        <v>442</v>
      </c>
      <c r="F58" s="11"/>
      <c r="G58" s="11" t="str">
        <f t="shared" si="2"/>
        <v>Waiting</v>
      </c>
      <c r="H58" s="18">
        <v>5</v>
      </c>
      <c r="I58" s="14"/>
      <c r="J58" s="16"/>
      <c r="K58" s="11" t="s">
        <v>452</v>
      </c>
      <c r="L58" s="11" t="s">
        <v>453</v>
      </c>
      <c r="M58" s="11" t="s">
        <v>454</v>
      </c>
      <c r="N58" s="11" t="s">
        <v>455</v>
      </c>
      <c r="O58" s="11" t="s">
        <v>456</v>
      </c>
      <c r="P58" s="11" t="s">
        <v>457</v>
      </c>
      <c r="Q58" s="11" t="s">
        <v>43</v>
      </c>
      <c r="R58" s="11"/>
      <c r="S58" s="14"/>
      <c r="T58" s="14"/>
      <c r="U58" s="10">
        <f t="shared" si="3"/>
        <v>0</v>
      </c>
    </row>
    <row r="59" spans="1:21" ht="64" customHeight="1">
      <c r="A59" s="10" t="s">
        <v>458</v>
      </c>
      <c r="B59" s="10" t="s">
        <v>418</v>
      </c>
      <c r="C59" s="10" t="s">
        <v>459</v>
      </c>
      <c r="D59" s="14" t="s">
        <v>288</v>
      </c>
      <c r="E59" s="10" t="s">
        <v>450</v>
      </c>
      <c r="F59" s="10"/>
      <c r="G59" s="10" t="str">
        <f t="shared" si="2"/>
        <v>Waiting</v>
      </c>
      <c r="H59" s="18">
        <v>3</v>
      </c>
      <c r="I59" s="14"/>
      <c r="J59" s="16"/>
      <c r="K59" s="10" t="s">
        <v>460</v>
      </c>
      <c r="L59" s="10" t="s">
        <v>461</v>
      </c>
      <c r="M59" s="10" t="s">
        <v>462</v>
      </c>
      <c r="N59" s="10" t="s">
        <v>463</v>
      </c>
      <c r="O59" s="10" t="s">
        <v>464</v>
      </c>
      <c r="P59" s="10" t="s">
        <v>465</v>
      </c>
      <c r="Q59" s="10" t="s">
        <v>43</v>
      </c>
      <c r="R59" s="10"/>
      <c r="S59" s="14"/>
      <c r="T59" s="14"/>
      <c r="U59" s="10">
        <f t="shared" si="3"/>
        <v>0</v>
      </c>
    </row>
    <row r="60" spans="1:21" ht="64" customHeight="1">
      <c r="A60" s="12" t="s">
        <v>466</v>
      </c>
      <c r="B60" s="12" t="s">
        <v>467</v>
      </c>
      <c r="C60" s="12" t="s">
        <v>468</v>
      </c>
      <c r="D60" s="13" t="s">
        <v>288</v>
      </c>
      <c r="E60" s="12" t="s">
        <v>409</v>
      </c>
      <c r="F60" s="12" t="s">
        <v>458</v>
      </c>
      <c r="G60" s="12" t="str">
        <f t="shared" si="2"/>
        <v>Waiting</v>
      </c>
      <c r="H60" s="17">
        <v>3</v>
      </c>
      <c r="I60" s="13"/>
      <c r="J60" s="15"/>
      <c r="K60" s="12" t="s">
        <v>469</v>
      </c>
      <c r="L60" s="12" t="s">
        <v>470</v>
      </c>
      <c r="M60" s="12" t="s">
        <v>471</v>
      </c>
      <c r="N60" s="12" t="s">
        <v>472</v>
      </c>
      <c r="O60" s="12" t="s">
        <v>473</v>
      </c>
      <c r="P60" s="12" t="s">
        <v>474</v>
      </c>
      <c r="Q60" s="12" t="s">
        <v>43</v>
      </c>
      <c r="R60" s="12"/>
      <c r="S60" s="13"/>
      <c r="T60" s="13"/>
      <c r="U60" s="10">
        <f t="shared" si="3"/>
        <v>0</v>
      </c>
    </row>
    <row r="61" spans="1:21" ht="64" customHeight="1">
      <c r="A61" s="10" t="s">
        <v>475</v>
      </c>
      <c r="B61" s="10" t="s">
        <v>467</v>
      </c>
      <c r="C61" s="10" t="s">
        <v>476</v>
      </c>
      <c r="D61" s="14" t="s">
        <v>288</v>
      </c>
      <c r="E61" s="10" t="s">
        <v>466</v>
      </c>
      <c r="F61" s="10"/>
      <c r="G61" s="10" t="str">
        <f t="shared" si="2"/>
        <v>Waiting</v>
      </c>
      <c r="H61" s="18">
        <v>3</v>
      </c>
      <c r="I61" s="14"/>
      <c r="J61" s="16"/>
      <c r="K61" s="10" t="s">
        <v>477</v>
      </c>
      <c r="L61" s="10" t="s">
        <v>478</v>
      </c>
      <c r="M61" s="10" t="s">
        <v>479</v>
      </c>
      <c r="N61" s="10" t="s">
        <v>480</v>
      </c>
      <c r="O61" s="10" t="s">
        <v>481</v>
      </c>
      <c r="P61" s="10" t="s">
        <v>482</v>
      </c>
      <c r="Q61" s="10" t="s">
        <v>43</v>
      </c>
      <c r="R61" s="10"/>
      <c r="S61" s="14"/>
      <c r="T61" s="14"/>
      <c r="U61" s="10">
        <f t="shared" si="3"/>
        <v>0</v>
      </c>
    </row>
    <row r="62" spans="1:21" ht="64" customHeight="1">
      <c r="A62" s="11" t="s">
        <v>483</v>
      </c>
      <c r="B62" s="11" t="s">
        <v>467</v>
      </c>
      <c r="C62" s="11" t="s">
        <v>484</v>
      </c>
      <c r="D62" s="14" t="s">
        <v>288</v>
      </c>
      <c r="E62" s="11" t="s">
        <v>475</v>
      </c>
      <c r="F62" s="11"/>
      <c r="G62" s="11" t="str">
        <f t="shared" si="2"/>
        <v>Waiting</v>
      </c>
      <c r="H62" s="18">
        <v>4</v>
      </c>
      <c r="I62" s="14"/>
      <c r="J62" s="16"/>
      <c r="K62" s="11" t="s">
        <v>485</v>
      </c>
      <c r="L62" s="11" t="s">
        <v>486</v>
      </c>
      <c r="M62" s="11" t="s">
        <v>487</v>
      </c>
      <c r="N62" s="11" t="s">
        <v>488</v>
      </c>
      <c r="O62" s="11" t="s">
        <v>489</v>
      </c>
      <c r="P62" s="11" t="s">
        <v>490</v>
      </c>
      <c r="Q62" s="11" t="s">
        <v>43</v>
      </c>
      <c r="R62" s="11"/>
      <c r="S62" s="14"/>
      <c r="T62" s="14"/>
      <c r="U62" s="10">
        <f t="shared" si="3"/>
        <v>0</v>
      </c>
    </row>
    <row r="63" spans="1:21" ht="64" customHeight="1">
      <c r="A63" s="10" t="s">
        <v>491</v>
      </c>
      <c r="B63" s="10" t="s">
        <v>467</v>
      </c>
      <c r="C63" s="10" t="s">
        <v>492</v>
      </c>
      <c r="D63" s="14" t="s">
        <v>288</v>
      </c>
      <c r="E63" s="10" t="s">
        <v>483</v>
      </c>
      <c r="F63" s="10"/>
      <c r="G63" s="10" t="str">
        <f t="shared" si="2"/>
        <v>Waiting</v>
      </c>
      <c r="H63" s="18">
        <v>2</v>
      </c>
      <c r="I63" s="14"/>
      <c r="J63" s="16"/>
      <c r="K63" s="10" t="s">
        <v>493</v>
      </c>
      <c r="L63" s="10" t="s">
        <v>494</v>
      </c>
      <c r="M63" s="10" t="s">
        <v>495</v>
      </c>
      <c r="N63" s="10" t="s">
        <v>496</v>
      </c>
      <c r="O63" s="10" t="s">
        <v>497</v>
      </c>
      <c r="P63" s="10" t="s">
        <v>498</v>
      </c>
      <c r="Q63" s="10" t="s">
        <v>43</v>
      </c>
      <c r="R63" s="10"/>
      <c r="S63" s="14"/>
      <c r="T63" s="14"/>
      <c r="U63" s="10">
        <f t="shared" si="3"/>
        <v>0</v>
      </c>
    </row>
    <row r="64" spans="1:21" ht="64" customHeight="1">
      <c r="A64" s="11" t="s">
        <v>499</v>
      </c>
      <c r="B64" s="11" t="s">
        <v>467</v>
      </c>
      <c r="C64" s="11" t="s">
        <v>500</v>
      </c>
      <c r="D64" s="14" t="s">
        <v>288</v>
      </c>
      <c r="E64" s="11" t="s">
        <v>491</v>
      </c>
      <c r="F64" s="11"/>
      <c r="G64" s="11" t="str">
        <f t="shared" si="2"/>
        <v>Waiting</v>
      </c>
      <c r="H64" s="18">
        <v>2</v>
      </c>
      <c r="I64" s="14"/>
      <c r="J64" s="16"/>
      <c r="K64" s="11" t="s">
        <v>501</v>
      </c>
      <c r="L64" s="11" t="s">
        <v>502</v>
      </c>
      <c r="M64" s="11" t="s">
        <v>503</v>
      </c>
      <c r="N64" s="11" t="s">
        <v>504</v>
      </c>
      <c r="O64" s="11" t="s">
        <v>505</v>
      </c>
      <c r="P64" s="11" t="s">
        <v>506</v>
      </c>
      <c r="Q64" s="11" t="s">
        <v>43</v>
      </c>
      <c r="R64" s="11"/>
      <c r="S64" s="14"/>
      <c r="T64" s="14"/>
      <c r="U64" s="10">
        <f t="shared" si="3"/>
        <v>0</v>
      </c>
    </row>
    <row r="65" spans="1:21" ht="64" customHeight="1">
      <c r="A65" s="10" t="s">
        <v>507</v>
      </c>
      <c r="B65" s="10" t="s">
        <v>467</v>
      </c>
      <c r="C65" s="10" t="s">
        <v>508</v>
      </c>
      <c r="D65" s="14" t="s">
        <v>288</v>
      </c>
      <c r="E65" s="10" t="s">
        <v>499</v>
      </c>
      <c r="F65" s="10"/>
      <c r="G65" s="10" t="str">
        <f t="shared" si="2"/>
        <v>Waiting</v>
      </c>
      <c r="H65" s="18">
        <v>2</v>
      </c>
      <c r="I65" s="14"/>
      <c r="J65" s="16"/>
      <c r="K65" s="10" t="s">
        <v>509</v>
      </c>
      <c r="L65" s="10" t="s">
        <v>510</v>
      </c>
      <c r="M65" s="10" t="s">
        <v>511</v>
      </c>
      <c r="N65" s="10" t="s">
        <v>512</v>
      </c>
      <c r="O65" s="10" t="s">
        <v>513</v>
      </c>
      <c r="P65" s="10" t="s">
        <v>514</v>
      </c>
      <c r="Q65" s="10" t="s">
        <v>43</v>
      </c>
      <c r="R65" s="10"/>
      <c r="S65" s="14"/>
      <c r="T65" s="14"/>
      <c r="U65" s="10">
        <f t="shared" si="3"/>
        <v>0</v>
      </c>
    </row>
    <row r="66" spans="1:21" ht="64" customHeight="1">
      <c r="A66" s="10" t="s">
        <v>515</v>
      </c>
      <c r="B66" s="10" t="s">
        <v>761</v>
      </c>
      <c r="C66" s="10" t="s">
        <v>762</v>
      </c>
      <c r="D66" s="14" t="s">
        <v>288</v>
      </c>
      <c r="E66" s="10" t="s">
        <v>507</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763</v>
      </c>
      <c r="L66" s="10" t="s">
        <v>764</v>
      </c>
      <c r="M66" s="10" t="s">
        <v>765</v>
      </c>
      <c r="N66" s="10" t="s">
        <v>766</v>
      </c>
      <c r="O66" s="10" t="s">
        <v>767</v>
      </c>
      <c r="P66" s="10" t="s">
        <v>768</v>
      </c>
      <c r="Q66" s="10" t="s">
        <v>769</v>
      </c>
      <c r="R66" s="10" t="s">
        <v>100</v>
      </c>
      <c r="S66" s="14"/>
      <c r="T66" s="14"/>
      <c r="U66" s="10">
        <f t="shared" ref="U66:U77" si="5">IF(LEN(S66)&gt;0,1,0)</f>
        <v>0</v>
      </c>
    </row>
    <row r="67" spans="1:21" ht="64" customHeight="1">
      <c r="A67" s="10" t="s">
        <v>524</v>
      </c>
      <c r="B67" s="10" t="s">
        <v>761</v>
      </c>
      <c r="C67" s="10" t="s">
        <v>771</v>
      </c>
      <c r="D67" s="14" t="s">
        <v>288</v>
      </c>
      <c r="E67" s="10" t="s">
        <v>515</v>
      </c>
      <c r="F67" s="10" t="s">
        <v>45</v>
      </c>
      <c r="G67" s="10" t="str">
        <f t="shared" si="4"/>
        <v>Waiting</v>
      </c>
      <c r="H67" s="18">
        <v>4</v>
      </c>
      <c r="I67" s="14"/>
      <c r="J67" s="16"/>
      <c r="K67" s="10" t="s">
        <v>772</v>
      </c>
      <c r="L67" s="10" t="s">
        <v>773</v>
      </c>
      <c r="M67" s="10" t="s">
        <v>774</v>
      </c>
      <c r="N67" s="10" t="s">
        <v>775</v>
      </c>
      <c r="O67" s="10" t="s">
        <v>776</v>
      </c>
      <c r="P67" s="10" t="s">
        <v>777</v>
      </c>
      <c r="Q67" s="10" t="s">
        <v>769</v>
      </c>
      <c r="R67" s="10" t="s">
        <v>778</v>
      </c>
      <c r="S67" s="14"/>
      <c r="T67" s="14"/>
      <c r="U67" s="10">
        <f t="shared" si="5"/>
        <v>0</v>
      </c>
    </row>
    <row r="68" spans="1:21" ht="64" customHeight="1">
      <c r="A68" s="10" t="s">
        <v>532</v>
      </c>
      <c r="B68" s="10" t="s">
        <v>761</v>
      </c>
      <c r="C68" s="10" t="s">
        <v>851</v>
      </c>
      <c r="D68" s="14" t="s">
        <v>288</v>
      </c>
      <c r="E68" s="10" t="s">
        <v>524</v>
      </c>
      <c r="F68" s="10" t="s">
        <v>255</v>
      </c>
      <c r="G68" s="10" t="str">
        <f t="shared" si="4"/>
        <v>Waiting</v>
      </c>
      <c r="H68" s="18">
        <v>12</v>
      </c>
      <c r="I68" s="14"/>
      <c r="J68" s="16"/>
      <c r="K68" s="10" t="s">
        <v>852</v>
      </c>
      <c r="L68" s="10" t="s">
        <v>853</v>
      </c>
      <c r="M68" s="10" t="s">
        <v>854</v>
      </c>
      <c r="N68" s="10" t="s">
        <v>855</v>
      </c>
      <c r="O68" s="10" t="s">
        <v>856</v>
      </c>
      <c r="P68" s="10" t="s">
        <v>857</v>
      </c>
      <c r="Q68" s="10" t="s">
        <v>769</v>
      </c>
      <c r="R68" s="10" t="s">
        <v>100</v>
      </c>
      <c r="S68" s="14"/>
      <c r="T68" s="14"/>
      <c r="U68" s="10">
        <f t="shared" si="5"/>
        <v>0</v>
      </c>
    </row>
    <row r="69" spans="1:21" ht="64" customHeight="1">
      <c r="A69" s="10" t="s">
        <v>540</v>
      </c>
      <c r="B69" s="10" t="s">
        <v>761</v>
      </c>
      <c r="C69" s="10" t="s">
        <v>781</v>
      </c>
      <c r="D69" s="14" t="s">
        <v>288</v>
      </c>
      <c r="E69" s="10" t="s">
        <v>532</v>
      </c>
      <c r="F69" s="10" t="s">
        <v>225</v>
      </c>
      <c r="G69" s="10" t="str">
        <f t="shared" si="4"/>
        <v>Waiting</v>
      </c>
      <c r="H69" s="18">
        <v>6</v>
      </c>
      <c r="I69" s="14"/>
      <c r="J69" s="16"/>
      <c r="K69" s="10" t="s">
        <v>858</v>
      </c>
      <c r="L69" s="10" t="s">
        <v>782</v>
      </c>
      <c r="M69" s="10" t="s">
        <v>783</v>
      </c>
      <c r="N69" s="10" t="s">
        <v>859</v>
      </c>
      <c r="O69" s="10" t="s">
        <v>784</v>
      </c>
      <c r="P69" s="10" t="s">
        <v>785</v>
      </c>
      <c r="Q69" s="10" t="s">
        <v>769</v>
      </c>
      <c r="R69" s="10" t="s">
        <v>223</v>
      </c>
      <c r="S69" s="14"/>
      <c r="T69" s="14"/>
      <c r="U69" s="10">
        <f t="shared" si="5"/>
        <v>0</v>
      </c>
    </row>
    <row r="70" spans="1:21" ht="64" customHeight="1">
      <c r="A70" s="10" t="s">
        <v>548</v>
      </c>
      <c r="B70" s="10" t="s">
        <v>761</v>
      </c>
      <c r="C70" s="10" t="s">
        <v>787</v>
      </c>
      <c r="D70" s="14" t="s">
        <v>288</v>
      </c>
      <c r="E70" s="10" t="s">
        <v>532</v>
      </c>
      <c r="F70" s="10" t="s">
        <v>138</v>
      </c>
      <c r="G70" s="10" t="str">
        <f t="shared" si="4"/>
        <v>Waiting</v>
      </c>
      <c r="H70" s="18">
        <v>5</v>
      </c>
      <c r="I70" s="14"/>
      <c r="J70" s="16"/>
      <c r="K70" s="10" t="s">
        <v>788</v>
      </c>
      <c r="L70" s="10" t="s">
        <v>789</v>
      </c>
      <c r="M70" s="10" t="s">
        <v>790</v>
      </c>
      <c r="N70" s="10" t="s">
        <v>791</v>
      </c>
      <c r="O70" s="10" t="s">
        <v>792</v>
      </c>
      <c r="P70" s="10" t="s">
        <v>793</v>
      </c>
      <c r="Q70" s="10" t="s">
        <v>769</v>
      </c>
      <c r="R70" s="10" t="s">
        <v>100</v>
      </c>
      <c r="S70" s="14"/>
      <c r="T70" s="14"/>
      <c r="U70" s="10">
        <f t="shared" si="5"/>
        <v>0</v>
      </c>
    </row>
    <row r="71" spans="1:21" ht="64" customHeight="1">
      <c r="A71" s="10" t="s">
        <v>556</v>
      </c>
      <c r="B71" s="10" t="s">
        <v>761</v>
      </c>
      <c r="C71" s="10" t="s">
        <v>795</v>
      </c>
      <c r="D71" s="14" t="s">
        <v>288</v>
      </c>
      <c r="E71" s="10" t="s">
        <v>540</v>
      </c>
      <c r="F71" s="10" t="s">
        <v>548</v>
      </c>
      <c r="G71" s="10" t="str">
        <f t="shared" si="4"/>
        <v>Waiting</v>
      </c>
      <c r="H71" s="18">
        <v>4</v>
      </c>
      <c r="I71" s="14"/>
      <c r="J71" s="16"/>
      <c r="K71" s="10" t="s">
        <v>796</v>
      </c>
      <c r="L71" s="10" t="s">
        <v>797</v>
      </c>
      <c r="M71" s="10" t="s">
        <v>798</v>
      </c>
      <c r="N71" s="10" t="s">
        <v>799</v>
      </c>
      <c r="O71" s="10" t="s">
        <v>800</v>
      </c>
      <c r="P71" s="10" t="s">
        <v>801</v>
      </c>
      <c r="Q71" s="10" t="s">
        <v>769</v>
      </c>
      <c r="R71" s="10" t="s">
        <v>100</v>
      </c>
      <c r="S71" s="14"/>
      <c r="T71" s="14"/>
      <c r="U71" s="10">
        <f t="shared" si="5"/>
        <v>0</v>
      </c>
    </row>
    <row r="72" spans="1:21" ht="64" customHeight="1">
      <c r="A72" s="10" t="s">
        <v>760</v>
      </c>
      <c r="B72" s="10" t="s">
        <v>761</v>
      </c>
      <c r="C72" s="10" t="s">
        <v>860</v>
      </c>
      <c r="D72" s="14" t="s">
        <v>288</v>
      </c>
      <c r="E72" s="10" t="s">
        <v>556</v>
      </c>
      <c r="F72" s="10" t="s">
        <v>82</v>
      </c>
      <c r="G72" s="10" t="str">
        <f t="shared" si="4"/>
        <v>Waiting</v>
      </c>
      <c r="H72" s="18">
        <v>4</v>
      </c>
      <c r="I72" s="14"/>
      <c r="J72" s="16"/>
      <c r="K72" s="10" t="s">
        <v>861</v>
      </c>
      <c r="L72" s="10" t="s">
        <v>803</v>
      </c>
      <c r="M72" s="10" t="s">
        <v>862</v>
      </c>
      <c r="N72" s="10" t="s">
        <v>863</v>
      </c>
      <c r="O72" s="10" t="s">
        <v>864</v>
      </c>
      <c r="P72" s="10" t="s">
        <v>865</v>
      </c>
      <c r="Q72" s="10" t="s">
        <v>769</v>
      </c>
      <c r="R72" s="10" t="s">
        <v>778</v>
      </c>
      <c r="S72" s="14"/>
      <c r="T72" s="14"/>
      <c r="U72" s="10">
        <f t="shared" si="5"/>
        <v>0</v>
      </c>
    </row>
    <row r="73" spans="1:21" ht="64" customHeight="1">
      <c r="A73" s="10" t="s">
        <v>770</v>
      </c>
      <c r="B73" s="10" t="s">
        <v>761</v>
      </c>
      <c r="C73" s="10" t="s">
        <v>805</v>
      </c>
      <c r="D73" s="14" t="s">
        <v>288</v>
      </c>
      <c r="E73" s="10" t="s">
        <v>760</v>
      </c>
      <c r="F73" s="10" t="s">
        <v>111</v>
      </c>
      <c r="G73" s="10" t="str">
        <f t="shared" si="4"/>
        <v>Waiting</v>
      </c>
      <c r="H73" s="18">
        <v>8</v>
      </c>
      <c r="I73" s="14"/>
      <c r="J73" s="16"/>
      <c r="K73" s="10" t="s">
        <v>866</v>
      </c>
      <c r="L73" s="10" t="s">
        <v>806</v>
      </c>
      <c r="M73" s="10" t="s">
        <v>807</v>
      </c>
      <c r="N73" s="10" t="s">
        <v>867</v>
      </c>
      <c r="O73" s="10" t="s">
        <v>868</v>
      </c>
      <c r="P73" s="10" t="s">
        <v>869</v>
      </c>
      <c r="Q73" s="10" t="s">
        <v>769</v>
      </c>
      <c r="R73" s="10" t="s">
        <v>778</v>
      </c>
      <c r="S73" s="14"/>
      <c r="T73" s="14"/>
      <c r="U73" s="10">
        <f t="shared" si="5"/>
        <v>0</v>
      </c>
    </row>
    <row r="74" spans="1:21" ht="64" customHeight="1">
      <c r="A74" s="10" t="s">
        <v>779</v>
      </c>
      <c r="B74" s="10" t="s">
        <v>761</v>
      </c>
      <c r="C74" s="10" t="s">
        <v>809</v>
      </c>
      <c r="D74" s="14" t="s">
        <v>288</v>
      </c>
      <c r="E74" s="10" t="s">
        <v>556</v>
      </c>
      <c r="F74" s="10" t="s">
        <v>265</v>
      </c>
      <c r="G74" s="10" t="str">
        <f t="shared" si="4"/>
        <v>Waiting</v>
      </c>
      <c r="H74" s="18">
        <v>5</v>
      </c>
      <c r="I74" s="14"/>
      <c r="J74" s="16"/>
      <c r="K74" s="10" t="s">
        <v>810</v>
      </c>
      <c r="L74" s="10" t="s">
        <v>811</v>
      </c>
      <c r="M74" s="10" t="s">
        <v>812</v>
      </c>
      <c r="N74" s="10" t="s">
        <v>813</v>
      </c>
      <c r="O74" s="10" t="s">
        <v>814</v>
      </c>
      <c r="P74" s="10" t="s">
        <v>815</v>
      </c>
      <c r="Q74" s="10" t="s">
        <v>769</v>
      </c>
      <c r="R74" s="10" t="s">
        <v>175</v>
      </c>
      <c r="S74" s="14"/>
      <c r="T74" s="14"/>
      <c r="U74" s="10">
        <f t="shared" si="5"/>
        <v>0</v>
      </c>
    </row>
    <row r="75" spans="1:21" ht="64" customHeight="1">
      <c r="A75" s="10" t="s">
        <v>780</v>
      </c>
      <c r="B75" s="10" t="s">
        <v>761</v>
      </c>
      <c r="C75" s="10" t="s">
        <v>817</v>
      </c>
      <c r="D75" s="14" t="s">
        <v>288</v>
      </c>
      <c r="E75" s="10" t="s">
        <v>770</v>
      </c>
      <c r="F75" s="10" t="s">
        <v>779</v>
      </c>
      <c r="G75" s="10" t="str">
        <f t="shared" si="4"/>
        <v>Waiting</v>
      </c>
      <c r="H75" s="18">
        <v>10</v>
      </c>
      <c r="I75" s="14"/>
      <c r="J75" s="16"/>
      <c r="K75" s="10" t="s">
        <v>818</v>
      </c>
      <c r="L75" s="10" t="s">
        <v>819</v>
      </c>
      <c r="M75" s="10" t="s">
        <v>870</v>
      </c>
      <c r="N75" s="10" t="s">
        <v>820</v>
      </c>
      <c r="O75" s="10" t="s">
        <v>821</v>
      </c>
      <c r="P75" s="10" t="s">
        <v>822</v>
      </c>
      <c r="Q75" s="10" t="s">
        <v>769</v>
      </c>
      <c r="R75" s="10" t="s">
        <v>100</v>
      </c>
      <c r="S75" s="14"/>
      <c r="T75" s="14"/>
      <c r="U75" s="10">
        <f t="shared" si="5"/>
        <v>0</v>
      </c>
    </row>
    <row r="76" spans="1:21" ht="64" customHeight="1">
      <c r="A76" s="10" t="s">
        <v>786</v>
      </c>
      <c r="B76" s="10" t="s">
        <v>761</v>
      </c>
      <c r="C76" s="10" t="s">
        <v>824</v>
      </c>
      <c r="D76" s="14" t="s">
        <v>288</v>
      </c>
      <c r="E76" s="10" t="s">
        <v>780</v>
      </c>
      <c r="F76" s="10" t="s">
        <v>344</v>
      </c>
      <c r="G76" s="10" t="str">
        <f t="shared" si="4"/>
        <v>Waiting</v>
      </c>
      <c r="H76" s="18">
        <v>5</v>
      </c>
      <c r="I76" s="14"/>
      <c r="J76" s="16"/>
      <c r="K76" s="10" t="s">
        <v>825</v>
      </c>
      <c r="L76" s="10" t="s">
        <v>826</v>
      </c>
      <c r="M76" s="10" t="s">
        <v>827</v>
      </c>
      <c r="N76" s="10" t="s">
        <v>828</v>
      </c>
      <c r="O76" s="10" t="s">
        <v>829</v>
      </c>
      <c r="P76" s="10" t="s">
        <v>830</v>
      </c>
      <c r="Q76" s="10" t="s">
        <v>769</v>
      </c>
      <c r="R76" s="10" t="s">
        <v>100</v>
      </c>
      <c r="S76" s="14"/>
      <c r="T76" s="14"/>
      <c r="U76" s="10">
        <f t="shared" si="5"/>
        <v>0</v>
      </c>
    </row>
    <row r="77" spans="1:21" ht="64" customHeight="1">
      <c r="A77" s="10" t="s">
        <v>794</v>
      </c>
      <c r="B77" s="10" t="s">
        <v>761</v>
      </c>
      <c r="C77" s="10" t="s">
        <v>832</v>
      </c>
      <c r="D77" s="14" t="s">
        <v>288</v>
      </c>
      <c r="E77" s="10" t="s">
        <v>786</v>
      </c>
      <c r="F77" s="10"/>
      <c r="G77" s="10" t="str">
        <f t="shared" si="4"/>
        <v>Waiting</v>
      </c>
      <c r="H77" s="18">
        <v>5</v>
      </c>
      <c r="I77" s="14"/>
      <c r="J77" s="16"/>
      <c r="K77" s="10" t="s">
        <v>833</v>
      </c>
      <c r="L77" s="10" t="s">
        <v>834</v>
      </c>
      <c r="M77" s="10" t="s">
        <v>848</v>
      </c>
      <c r="N77" s="10" t="s">
        <v>835</v>
      </c>
      <c r="O77" s="10" t="s">
        <v>836</v>
      </c>
      <c r="P77" s="10" t="s">
        <v>837</v>
      </c>
      <c r="Q77" s="10" t="s">
        <v>769</v>
      </c>
      <c r="R77" s="10" t="s">
        <v>778</v>
      </c>
      <c r="S77" s="14"/>
      <c r="T77" s="14"/>
      <c r="U77" s="10">
        <f t="shared" si="5"/>
        <v>0</v>
      </c>
    </row>
    <row r="78" spans="1:21" ht="64" customHeight="1">
      <c r="A78" s="12" t="s">
        <v>802</v>
      </c>
      <c r="B78" s="12" t="s">
        <v>838</v>
      </c>
      <c r="C78" s="12" t="s">
        <v>516</v>
      </c>
      <c r="D78" s="13" t="s">
        <v>288</v>
      </c>
      <c r="E78" s="12" t="s">
        <v>794</v>
      </c>
      <c r="F78" s="12"/>
      <c r="G78" s="12" t="str">
        <f t="shared" si="2"/>
        <v>Waiting</v>
      </c>
      <c r="H78" s="17">
        <v>8</v>
      </c>
      <c r="I78" s="13"/>
      <c r="J78" s="15"/>
      <c r="K78" s="12" t="s">
        <v>517</v>
      </c>
      <c r="L78" s="12" t="s">
        <v>518</v>
      </c>
      <c r="M78" s="12" t="s">
        <v>519</v>
      </c>
      <c r="N78" s="12" t="s">
        <v>520</v>
      </c>
      <c r="O78" s="12" t="s">
        <v>521</v>
      </c>
      <c r="P78" s="12" t="s">
        <v>522</v>
      </c>
      <c r="Q78" s="12" t="s">
        <v>523</v>
      </c>
      <c r="R78" s="12"/>
      <c r="S78" s="13"/>
      <c r="T78" s="13"/>
      <c r="U78" s="10">
        <f t="shared" si="3"/>
        <v>0</v>
      </c>
    </row>
    <row r="79" spans="1:21" ht="64" customHeight="1">
      <c r="A79" s="10" t="s">
        <v>804</v>
      </c>
      <c r="B79" s="10" t="s">
        <v>838</v>
      </c>
      <c r="C79" s="10" t="s">
        <v>525</v>
      </c>
      <c r="D79" s="14" t="s">
        <v>288</v>
      </c>
      <c r="E79" s="10" t="s">
        <v>794</v>
      </c>
      <c r="F79" s="10"/>
      <c r="G79" s="10" t="str">
        <f t="shared" si="2"/>
        <v>Waiting</v>
      </c>
      <c r="H79" s="18">
        <v>12</v>
      </c>
      <c r="I79" s="14"/>
      <c r="J79" s="16"/>
      <c r="K79" s="10" t="s">
        <v>526</v>
      </c>
      <c r="L79" s="10" t="s">
        <v>527</v>
      </c>
      <c r="M79" s="10" t="s">
        <v>528</v>
      </c>
      <c r="N79" s="10" t="s">
        <v>529</v>
      </c>
      <c r="O79" s="10" t="s">
        <v>530</v>
      </c>
      <c r="P79" s="10" t="s">
        <v>531</v>
      </c>
      <c r="Q79" s="10" t="s">
        <v>523</v>
      </c>
      <c r="R79" s="10"/>
      <c r="S79" s="14"/>
      <c r="T79" s="14"/>
      <c r="U79" s="10">
        <f t="shared" si="3"/>
        <v>0</v>
      </c>
    </row>
    <row r="80" spans="1:21" ht="64" customHeight="1">
      <c r="A80" s="11" t="s">
        <v>808</v>
      </c>
      <c r="B80" s="11" t="s">
        <v>838</v>
      </c>
      <c r="C80" s="11" t="s">
        <v>533</v>
      </c>
      <c r="D80" s="14" t="s">
        <v>288</v>
      </c>
      <c r="E80" s="11" t="s">
        <v>794</v>
      </c>
      <c r="F80" s="11"/>
      <c r="G80" s="11" t="str">
        <f t="shared" si="2"/>
        <v>Waiting</v>
      </c>
      <c r="H80" s="18">
        <v>8</v>
      </c>
      <c r="I80" s="14"/>
      <c r="J80" s="16"/>
      <c r="K80" s="11" t="s">
        <v>534</v>
      </c>
      <c r="L80" s="11" t="s">
        <v>535</v>
      </c>
      <c r="M80" s="11" t="s">
        <v>536</v>
      </c>
      <c r="N80" s="11" t="s">
        <v>537</v>
      </c>
      <c r="O80" s="11" t="s">
        <v>538</v>
      </c>
      <c r="P80" s="11" t="s">
        <v>539</v>
      </c>
      <c r="Q80" s="11" t="s">
        <v>523</v>
      </c>
      <c r="R80" s="11"/>
      <c r="S80" s="14"/>
      <c r="T80" s="14"/>
      <c r="U80" s="10">
        <f t="shared" si="3"/>
        <v>0</v>
      </c>
    </row>
    <row r="81" spans="1:21" ht="64" customHeight="1">
      <c r="A81" s="10" t="s">
        <v>816</v>
      </c>
      <c r="B81" s="10" t="s">
        <v>838</v>
      </c>
      <c r="C81" s="10" t="s">
        <v>541</v>
      </c>
      <c r="D81" s="14" t="s">
        <v>288</v>
      </c>
      <c r="E81" s="10" t="s">
        <v>794</v>
      </c>
      <c r="F81" s="10"/>
      <c r="G81" s="10" t="str">
        <f t="shared" si="2"/>
        <v>Waiting</v>
      </c>
      <c r="H81" s="18">
        <v>10</v>
      </c>
      <c r="I81" s="14"/>
      <c r="J81" s="16"/>
      <c r="K81" s="10" t="s">
        <v>542</v>
      </c>
      <c r="L81" s="10" t="s">
        <v>543</v>
      </c>
      <c r="M81" s="10" t="s">
        <v>544</v>
      </c>
      <c r="N81" s="10" t="s">
        <v>545</v>
      </c>
      <c r="O81" s="10" t="s">
        <v>546</v>
      </c>
      <c r="P81" s="10" t="s">
        <v>547</v>
      </c>
      <c r="Q81" s="10" t="s">
        <v>523</v>
      </c>
      <c r="R81" s="10"/>
      <c r="S81" s="14"/>
      <c r="T81" s="14"/>
      <c r="U81" s="10">
        <f t="shared" si="3"/>
        <v>0</v>
      </c>
    </row>
    <row r="82" spans="1:21" ht="64" customHeight="1">
      <c r="A82" s="11" t="s">
        <v>823</v>
      </c>
      <c r="B82" s="11" t="s">
        <v>838</v>
      </c>
      <c r="C82" s="11" t="s">
        <v>549</v>
      </c>
      <c r="D82" s="14" t="s">
        <v>288</v>
      </c>
      <c r="E82" s="11" t="s">
        <v>794</v>
      </c>
      <c r="F82" s="11"/>
      <c r="G82" s="11" t="str">
        <f t="shared" si="2"/>
        <v>Waiting</v>
      </c>
      <c r="H82" s="18">
        <v>6</v>
      </c>
      <c r="I82" s="14"/>
      <c r="J82" s="16"/>
      <c r="K82" s="11" t="s">
        <v>550</v>
      </c>
      <c r="L82" s="11" t="s">
        <v>551</v>
      </c>
      <c r="M82" s="11" t="s">
        <v>552</v>
      </c>
      <c r="N82" s="11" t="s">
        <v>553</v>
      </c>
      <c r="O82" s="11" t="s">
        <v>554</v>
      </c>
      <c r="P82" s="11" t="s">
        <v>555</v>
      </c>
      <c r="Q82" s="11" t="s">
        <v>523</v>
      </c>
      <c r="R82" s="11"/>
      <c r="S82" s="14"/>
      <c r="T82" s="14"/>
      <c r="U82" s="10">
        <f t="shared" si="3"/>
        <v>0</v>
      </c>
    </row>
    <row r="83" spans="1:21" ht="64" customHeight="1">
      <c r="A83" s="10" t="s">
        <v>831</v>
      </c>
      <c r="B83" s="10" t="s">
        <v>838</v>
      </c>
      <c r="C83" s="10" t="s">
        <v>557</v>
      </c>
      <c r="D83" s="14" t="s">
        <v>288</v>
      </c>
      <c r="E83" s="10" t="s">
        <v>802</v>
      </c>
      <c r="F83" s="10" t="s">
        <v>823</v>
      </c>
      <c r="G83" s="10" t="str">
        <f t="shared" si="2"/>
        <v>Waiting</v>
      </c>
      <c r="H83" s="18">
        <v>8</v>
      </c>
      <c r="I83" s="14"/>
      <c r="J83" s="16"/>
      <c r="K83" s="10" t="s">
        <v>558</v>
      </c>
      <c r="L83" s="10" t="s">
        <v>559</v>
      </c>
      <c r="M83" s="10" t="s">
        <v>560</v>
      </c>
      <c r="N83" s="10" t="s">
        <v>561</v>
      </c>
      <c r="O83" s="10" t="s">
        <v>562</v>
      </c>
      <c r="P83" s="10" t="s">
        <v>563</v>
      </c>
      <c r="Q83" s="10" t="s">
        <v>523</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564</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565</v>
      </c>
      <c r="F90" s="4" t="s">
        <v>3</v>
      </c>
      <c r="G90" s="4" t="s">
        <v>2</v>
      </c>
      <c r="H90" s="4" t="s">
        <v>4</v>
      </c>
      <c r="I90" s="4" t="s">
        <v>5</v>
      </c>
      <c r="J90" s="4" t="s">
        <v>566</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1</v>
      </c>
      <c r="D97" s="11">
        <f t="shared" si="8"/>
        <v>5</v>
      </c>
      <c r="E97" s="11">
        <f t="shared" si="9"/>
        <v>0</v>
      </c>
      <c r="F97" s="11">
        <f t="shared" si="10"/>
        <v>0</v>
      </c>
      <c r="G97" s="20">
        <f t="shared" si="11"/>
        <v>0.16666666666666666</v>
      </c>
      <c r="H97" s="11">
        <f t="shared" si="12"/>
        <v>25</v>
      </c>
      <c r="I97" s="11">
        <f t="shared" si="13"/>
        <v>21</v>
      </c>
      <c r="J97" s="11">
        <f t="shared" si="14"/>
        <v>1</v>
      </c>
      <c r="K97" s="1"/>
      <c r="L97" s="1"/>
      <c r="M97" s="1"/>
      <c r="N97" s="1"/>
      <c r="O97" s="1"/>
      <c r="P97" s="1"/>
      <c r="Q97" s="1"/>
      <c r="R97" s="1"/>
      <c r="S97" s="1"/>
      <c r="T97" s="1"/>
      <c r="U97" s="1"/>
    </row>
    <row r="98" spans="1:21" ht="38" customHeight="1">
      <c r="A98" s="10" t="s">
        <v>418</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1</v>
      </c>
      <c r="K98" s="1"/>
      <c r="L98" s="1"/>
      <c r="M98" s="1"/>
      <c r="N98" s="1"/>
      <c r="O98" s="1"/>
      <c r="P98" s="1"/>
      <c r="Q98" s="1"/>
      <c r="R98" s="1"/>
      <c r="S98" s="1"/>
      <c r="T98" s="1"/>
      <c r="U98" s="1"/>
    </row>
    <row r="99" spans="1:21" ht="38" customHeight="1">
      <c r="A99" s="11" t="s">
        <v>467</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761</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838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567</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568</v>
      </c>
      <c r="C106" s="10" t="s">
        <v>569</v>
      </c>
      <c r="D106" s="1"/>
      <c r="E106" s="1"/>
      <c r="F106" s="1"/>
      <c r="G106" s="1"/>
      <c r="H106" s="1"/>
      <c r="I106" s="1"/>
      <c r="J106" s="1"/>
      <c r="K106" s="1"/>
      <c r="L106" s="1"/>
      <c r="M106" s="1"/>
      <c r="N106" s="1"/>
      <c r="O106" s="1"/>
      <c r="P106" s="1"/>
      <c r="Q106" s="1"/>
      <c r="R106" s="1"/>
      <c r="S106" s="1"/>
      <c r="T106" s="1"/>
      <c r="U106" s="1"/>
    </row>
    <row r="107" spans="1:21" ht="65" customHeight="1">
      <c r="A107" s="1"/>
      <c r="B107" s="22" t="s">
        <v>570</v>
      </c>
      <c r="C107" s="10" t="s">
        <v>571</v>
      </c>
      <c r="D107" s="1"/>
      <c r="E107" s="1"/>
      <c r="F107" s="1"/>
      <c r="G107" s="1"/>
      <c r="H107" s="1"/>
      <c r="I107" s="1"/>
      <c r="J107" s="1"/>
      <c r="K107" s="1"/>
      <c r="L107" s="1"/>
      <c r="M107" s="1"/>
      <c r="N107" s="1"/>
      <c r="O107" s="1"/>
      <c r="P107" s="1"/>
      <c r="Q107" s="1"/>
      <c r="R107" s="1"/>
      <c r="S107" s="1"/>
      <c r="T107" s="1"/>
      <c r="U107" s="1"/>
    </row>
    <row r="108" spans="1:21" ht="125" customHeight="1">
      <c r="A108" s="1"/>
      <c r="B108" s="22" t="s">
        <v>572</v>
      </c>
      <c r="C108" s="10" t="s">
        <v>847</v>
      </c>
      <c r="D108" s="1"/>
      <c r="E108" s="1"/>
      <c r="F108" s="1"/>
      <c r="G108" s="1"/>
      <c r="H108" s="1"/>
      <c r="I108" s="1"/>
      <c r="J108" s="1"/>
      <c r="K108" s="1"/>
      <c r="L108" s="1"/>
      <c r="M108" s="1"/>
      <c r="N108" s="1"/>
      <c r="O108" s="1"/>
      <c r="P108" s="1"/>
      <c r="Q108" s="1"/>
      <c r="R108" s="1"/>
      <c r="S108" s="1"/>
      <c r="T108" s="1"/>
      <c r="U108" s="1"/>
    </row>
    <row r="109" spans="1:21" ht="110" customHeight="1">
      <c r="A109" s="1"/>
      <c r="B109" s="22" t="s">
        <v>573</v>
      </c>
      <c r="C109" s="10" t="s">
        <v>574</v>
      </c>
      <c r="D109" s="1"/>
      <c r="E109" s="1"/>
      <c r="F109" s="1"/>
      <c r="G109" s="1"/>
      <c r="H109" s="1"/>
      <c r="I109" s="1"/>
      <c r="J109" s="1"/>
      <c r="K109" s="1"/>
      <c r="L109" s="1"/>
      <c r="M109" s="1"/>
      <c r="N109" s="1"/>
      <c r="O109" s="1"/>
      <c r="P109" s="1"/>
      <c r="Q109" s="1"/>
      <c r="R109" s="1"/>
      <c r="S109" s="1"/>
      <c r="T109" s="1"/>
      <c r="U109" s="1"/>
    </row>
    <row r="110" spans="1:21" ht="110" customHeight="1">
      <c r="A110" s="1"/>
      <c r="B110" s="22" t="s">
        <v>575</v>
      </c>
      <c r="C110" s="10" t="s">
        <v>576</v>
      </c>
      <c r="D110" s="1"/>
      <c r="E110" s="1"/>
      <c r="F110" s="1"/>
      <c r="G110" s="1"/>
      <c r="H110" s="1"/>
      <c r="I110" s="1"/>
      <c r="J110" s="1"/>
      <c r="K110" s="1"/>
      <c r="L110" s="1"/>
      <c r="M110" s="1"/>
      <c r="N110" s="1"/>
      <c r="O110" s="1"/>
      <c r="P110" s="1"/>
      <c r="Q110" s="1"/>
      <c r="R110" s="1"/>
      <c r="S110" s="1"/>
      <c r="T110" s="1"/>
      <c r="U110" s="1"/>
    </row>
    <row r="111" spans="1:21" ht="95" customHeight="1">
      <c r="A111" s="1"/>
      <c r="B111" s="22" t="s">
        <v>577</v>
      </c>
      <c r="C111" s="10" t="s">
        <v>578</v>
      </c>
      <c r="D111" s="1"/>
      <c r="E111" s="1"/>
      <c r="F111" s="1"/>
      <c r="G111" s="1"/>
      <c r="H111" s="1"/>
      <c r="I111" s="1"/>
      <c r="J111" s="1"/>
      <c r="K111" s="1"/>
      <c r="L111" s="1"/>
      <c r="M111" s="1"/>
      <c r="N111" s="1"/>
      <c r="O111" s="1"/>
      <c r="P111" s="1"/>
      <c r="Q111" s="1"/>
      <c r="R111" s="1"/>
      <c r="S111" s="1"/>
      <c r="T111" s="1"/>
      <c r="U111" s="1"/>
    </row>
    <row r="112" spans="1:21" ht="110" customHeight="1">
      <c r="A112" s="1"/>
      <c r="B112" s="22" t="s">
        <v>579</v>
      </c>
      <c r="C112" s="10" t="s">
        <v>580</v>
      </c>
      <c r="D112" s="1"/>
      <c r="E112" s="1"/>
      <c r="F112" s="1"/>
      <c r="G112" s="1"/>
      <c r="H112" s="1"/>
      <c r="I112" s="1"/>
      <c r="J112" s="1"/>
      <c r="K112" s="1"/>
      <c r="L112" s="1"/>
      <c r="M112" s="1"/>
      <c r="N112" s="1"/>
      <c r="O112" s="1"/>
      <c r="P112" s="1"/>
      <c r="Q112" s="1"/>
      <c r="R112" s="1"/>
      <c r="S112" s="1"/>
      <c r="T112" s="1"/>
      <c r="U112" s="1"/>
    </row>
    <row r="113" spans="1:21" ht="125" customHeight="1">
      <c r="A113" s="1"/>
      <c r="B113" s="22" t="s">
        <v>581</v>
      </c>
      <c r="C113" s="10" t="s">
        <v>582</v>
      </c>
      <c r="D113" s="1"/>
      <c r="E113" s="1"/>
      <c r="F113" s="1"/>
      <c r="G113" s="1"/>
      <c r="H113" s="1"/>
      <c r="I113" s="1"/>
      <c r="J113" s="1"/>
      <c r="K113" s="1"/>
      <c r="L113" s="1"/>
      <c r="M113" s="1"/>
      <c r="N113" s="1"/>
      <c r="O113" s="1"/>
      <c r="P113" s="1"/>
      <c r="Q113" s="1"/>
      <c r="R113" s="1"/>
      <c r="S113" s="1"/>
      <c r="T113" s="1"/>
      <c r="U113" s="1"/>
    </row>
    <row r="114" spans="1:21" ht="110" customHeight="1">
      <c r="A114" s="1"/>
      <c r="B114" s="22" t="s">
        <v>583</v>
      </c>
      <c r="C114" s="10" t="s">
        <v>584</v>
      </c>
      <c r="D114" s="1"/>
      <c r="E114" s="1"/>
      <c r="F114" s="1"/>
      <c r="G114" s="1"/>
      <c r="H114" s="1"/>
      <c r="I114" s="1"/>
      <c r="J114" s="1"/>
      <c r="K114" s="1"/>
      <c r="L114" s="1"/>
      <c r="M114" s="1"/>
      <c r="N114" s="1"/>
      <c r="O114" s="1"/>
      <c r="P114" s="1"/>
      <c r="Q114" s="1"/>
      <c r="R114" s="1"/>
      <c r="S114" s="1"/>
      <c r="T114" s="1"/>
      <c r="U114" s="1"/>
    </row>
    <row r="115" spans="1:21" ht="125" customHeight="1">
      <c r="A115" s="1"/>
      <c r="B115" s="22" t="s">
        <v>585</v>
      </c>
      <c r="C115" s="10" t="s">
        <v>586</v>
      </c>
      <c r="D115" s="1"/>
      <c r="E115" s="1"/>
      <c r="F115" s="1"/>
      <c r="G115" s="1"/>
      <c r="H115" s="1"/>
      <c r="I115" s="1"/>
      <c r="J115" s="1"/>
      <c r="K115" s="1"/>
      <c r="L115" s="1"/>
      <c r="M115" s="1"/>
      <c r="N115" s="1"/>
      <c r="O115" s="1"/>
      <c r="P115" s="1"/>
      <c r="Q115" s="1"/>
      <c r="R115" s="1"/>
      <c r="S115" s="1"/>
      <c r="T115" s="1"/>
      <c r="U115" s="1"/>
    </row>
    <row r="116" spans="1:21" ht="110" customHeight="1">
      <c r="A116" s="1"/>
      <c r="B116" s="22" t="s">
        <v>587</v>
      </c>
      <c r="C116" s="10" t="s">
        <v>588</v>
      </c>
      <c r="D116" s="1"/>
      <c r="E116" s="1"/>
      <c r="F116" s="1"/>
      <c r="G116" s="1"/>
      <c r="H116" s="1"/>
      <c r="I116" s="1"/>
      <c r="J116" s="1"/>
      <c r="K116" s="1"/>
      <c r="L116" s="1"/>
      <c r="M116" s="1"/>
      <c r="N116" s="1"/>
      <c r="O116" s="1"/>
      <c r="P116" s="1"/>
      <c r="Q116" s="1"/>
      <c r="R116" s="1"/>
      <c r="S116" s="1"/>
      <c r="T116" s="1"/>
      <c r="U116" s="1"/>
    </row>
    <row r="117" spans="1:21" ht="110" customHeight="1">
      <c r="A117" s="1"/>
      <c r="B117" s="22" t="s">
        <v>589</v>
      </c>
      <c r="C117" s="10" t="s">
        <v>590</v>
      </c>
      <c r="D117" s="1"/>
      <c r="E117" s="1"/>
      <c r="F117" s="1"/>
      <c r="G117" s="1"/>
      <c r="H117" s="1"/>
      <c r="I117" s="1"/>
      <c r="J117" s="1"/>
      <c r="K117" s="1"/>
      <c r="L117" s="1"/>
      <c r="M117" s="1"/>
      <c r="N117" s="1"/>
      <c r="O117" s="1"/>
      <c r="P117" s="1"/>
      <c r="Q117" s="1"/>
      <c r="R117" s="1"/>
      <c r="S117" s="1"/>
      <c r="T117" s="1"/>
      <c r="U117" s="1"/>
    </row>
    <row r="118" spans="1:21" ht="95" customHeight="1">
      <c r="A118" s="1"/>
      <c r="B118" s="22" t="s">
        <v>591</v>
      </c>
      <c r="C118" s="10" t="s">
        <v>592</v>
      </c>
      <c r="D118" s="1"/>
      <c r="E118" s="1"/>
      <c r="F118" s="1"/>
      <c r="G118" s="1"/>
      <c r="H118" s="1"/>
      <c r="I118" s="1"/>
      <c r="J118" s="1"/>
      <c r="K118" s="1"/>
      <c r="L118" s="1"/>
      <c r="M118" s="1"/>
      <c r="N118" s="1"/>
      <c r="O118" s="1"/>
      <c r="P118" s="1"/>
      <c r="Q118" s="1"/>
      <c r="R118" s="1"/>
      <c r="S118" s="1"/>
      <c r="T118" s="1"/>
      <c r="U118" s="1"/>
    </row>
    <row r="119" spans="1:21" ht="110" customHeight="1">
      <c r="A119" s="1"/>
      <c r="B119" s="22" t="s">
        <v>593</v>
      </c>
      <c r="C119" s="10" t="s">
        <v>594</v>
      </c>
      <c r="D119" s="1"/>
      <c r="E119" s="1"/>
      <c r="F119" s="1"/>
      <c r="G119" s="1"/>
      <c r="H119" s="1"/>
      <c r="I119" s="1"/>
      <c r="J119" s="1"/>
      <c r="K119" s="1"/>
      <c r="L119" s="1"/>
      <c r="M119" s="1"/>
      <c r="N119" s="1"/>
      <c r="O119" s="1"/>
      <c r="P119" s="1"/>
      <c r="Q119" s="1"/>
      <c r="R119" s="1"/>
      <c r="S119" s="1"/>
      <c r="T119" s="1"/>
      <c r="U119" s="1"/>
    </row>
    <row r="120" spans="1:21" ht="110" customHeight="1">
      <c r="A120" s="1"/>
      <c r="B120" s="22" t="s">
        <v>595</v>
      </c>
      <c r="C120" s="10" t="s">
        <v>596</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597</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598</v>
      </c>
      <c r="C125" s="10" t="s">
        <v>599</v>
      </c>
      <c r="D125" s="1"/>
      <c r="E125" s="1"/>
      <c r="F125" s="1"/>
      <c r="G125" s="1"/>
      <c r="H125" s="1"/>
      <c r="I125" s="1"/>
      <c r="J125" s="1"/>
      <c r="K125" s="1"/>
      <c r="L125" s="1"/>
      <c r="M125" s="1"/>
      <c r="N125" s="1"/>
      <c r="O125" s="1"/>
      <c r="P125" s="1"/>
      <c r="Q125" s="1"/>
      <c r="R125" s="1"/>
      <c r="S125" s="1"/>
      <c r="T125" s="1"/>
      <c r="U125" s="1"/>
    </row>
    <row r="126" spans="1:21" ht="95" customHeight="1">
      <c r="A126" s="1"/>
      <c r="B126" s="22" t="s">
        <v>600</v>
      </c>
      <c r="C126" s="10" t="s">
        <v>601</v>
      </c>
      <c r="D126" s="1"/>
      <c r="E126" s="1"/>
      <c r="F126" s="1"/>
      <c r="G126" s="1"/>
      <c r="H126" s="1"/>
      <c r="I126" s="1"/>
      <c r="J126" s="1"/>
      <c r="K126" s="1"/>
      <c r="L126" s="1"/>
      <c r="M126" s="1"/>
      <c r="N126" s="1"/>
      <c r="O126" s="1"/>
      <c r="P126" s="1"/>
      <c r="Q126" s="1"/>
      <c r="R126" s="1"/>
      <c r="S126" s="1"/>
      <c r="T126" s="1"/>
      <c r="U126" s="1"/>
    </row>
    <row r="127" spans="1:21" ht="95" customHeight="1">
      <c r="A127" s="1"/>
      <c r="B127" s="22" t="s">
        <v>602</v>
      </c>
      <c r="C127" s="10" t="s">
        <v>603</v>
      </c>
      <c r="D127" s="1"/>
      <c r="E127" s="1"/>
      <c r="F127" s="1"/>
      <c r="G127" s="1"/>
      <c r="H127" s="1"/>
      <c r="I127" s="1"/>
      <c r="J127" s="1"/>
      <c r="K127" s="1"/>
      <c r="L127" s="1"/>
      <c r="M127" s="1"/>
      <c r="N127" s="1"/>
      <c r="O127" s="1"/>
      <c r="P127" s="1"/>
      <c r="Q127" s="1"/>
      <c r="R127" s="1"/>
      <c r="S127" s="1"/>
      <c r="T127" s="1"/>
      <c r="U127" s="1"/>
    </row>
    <row r="128" spans="1:21" ht="80" customHeight="1">
      <c r="A128" s="1"/>
      <c r="B128" s="22" t="s">
        <v>604</v>
      </c>
      <c r="C128" s="10" t="s">
        <v>605</v>
      </c>
      <c r="D128" s="1"/>
      <c r="E128" s="1"/>
      <c r="F128" s="1"/>
      <c r="G128" s="1"/>
      <c r="H128" s="1"/>
      <c r="I128" s="1"/>
      <c r="J128" s="1"/>
      <c r="K128" s="1"/>
      <c r="L128" s="1"/>
      <c r="M128" s="1"/>
      <c r="N128" s="1"/>
      <c r="O128" s="1"/>
      <c r="P128" s="1"/>
      <c r="Q128" s="1"/>
      <c r="R128" s="1"/>
      <c r="S128" s="1"/>
      <c r="T128" s="1"/>
      <c r="U128" s="1"/>
    </row>
    <row r="129" spans="1:21" ht="95" customHeight="1">
      <c r="A129" s="1"/>
      <c r="B129" s="22" t="s">
        <v>606</v>
      </c>
      <c r="C129" s="10" t="s">
        <v>607</v>
      </c>
      <c r="D129" s="1"/>
      <c r="E129" s="1"/>
      <c r="F129" s="1"/>
      <c r="G129" s="1"/>
      <c r="H129" s="1"/>
      <c r="I129" s="1"/>
      <c r="J129" s="1"/>
      <c r="K129" s="1"/>
      <c r="L129" s="1"/>
      <c r="M129" s="1"/>
      <c r="N129" s="1"/>
      <c r="O129" s="1"/>
      <c r="P129" s="1"/>
      <c r="Q129" s="1"/>
      <c r="R129" s="1"/>
      <c r="S129" s="1"/>
      <c r="T129" s="1"/>
      <c r="U129" s="1"/>
    </row>
    <row r="130" spans="1:21" ht="95" customHeight="1">
      <c r="A130" s="1"/>
      <c r="B130" s="22" t="s">
        <v>608</v>
      </c>
      <c r="C130" s="10" t="s">
        <v>609</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610</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611</v>
      </c>
      <c r="B135" s="4" t="s">
        <v>612</v>
      </c>
      <c r="C135" s="4" t="s">
        <v>568</v>
      </c>
      <c r="D135" s="4" t="s">
        <v>30</v>
      </c>
      <c r="E135" s="4" t="s">
        <v>613</v>
      </c>
      <c r="F135" s="4" t="s">
        <v>614</v>
      </c>
      <c r="G135" s="4" t="s">
        <v>615</v>
      </c>
      <c r="H135" s="1"/>
      <c r="I135" s="1"/>
      <c r="J135" s="1"/>
      <c r="K135" s="1"/>
      <c r="L135" s="1"/>
      <c r="M135" s="1"/>
      <c r="N135" s="1"/>
      <c r="O135" s="1"/>
      <c r="P135" s="1"/>
      <c r="Q135" s="1"/>
      <c r="R135" s="1"/>
      <c r="S135" s="1"/>
      <c r="T135" s="1"/>
      <c r="U135" s="1"/>
    </row>
    <row r="136" spans="1:21" ht="190" customHeight="1">
      <c r="A136" s="11" t="s">
        <v>616</v>
      </c>
      <c r="B136" s="11" t="s">
        <v>617</v>
      </c>
      <c r="C136" s="11" t="s">
        <v>618</v>
      </c>
      <c r="D136" s="11" t="s">
        <v>100</v>
      </c>
      <c r="E136" s="11" t="s">
        <v>619</v>
      </c>
      <c r="F136" s="11" t="s">
        <v>620</v>
      </c>
      <c r="G136" s="11" t="s">
        <v>621</v>
      </c>
      <c r="H136" s="1"/>
      <c r="I136" s="1"/>
      <c r="J136" s="1"/>
      <c r="K136" s="1"/>
      <c r="L136" s="1"/>
      <c r="M136" s="1"/>
      <c r="N136" s="1"/>
      <c r="O136" s="1"/>
      <c r="P136" s="1"/>
      <c r="Q136" s="1"/>
      <c r="R136" s="1"/>
      <c r="S136" s="1"/>
      <c r="T136" s="1"/>
      <c r="U136" s="1"/>
    </row>
    <row r="137" spans="1:21" ht="190" customHeight="1">
      <c r="A137" s="10" t="s">
        <v>622</v>
      </c>
      <c r="B137" s="10" t="s">
        <v>623</v>
      </c>
      <c r="C137" s="10" t="s">
        <v>624</v>
      </c>
      <c r="D137" s="10" t="s">
        <v>100</v>
      </c>
      <c r="E137" s="10" t="s">
        <v>625</v>
      </c>
      <c r="F137" s="10" t="s">
        <v>626</v>
      </c>
      <c r="G137" s="10" t="s">
        <v>627</v>
      </c>
      <c r="H137" s="1"/>
      <c r="I137" s="1"/>
      <c r="J137" s="1"/>
      <c r="K137" s="1"/>
      <c r="L137" s="1"/>
      <c r="M137" s="1"/>
      <c r="N137" s="1"/>
      <c r="O137" s="1"/>
      <c r="P137" s="1"/>
      <c r="Q137" s="1"/>
      <c r="R137" s="1"/>
      <c r="S137" s="1"/>
      <c r="T137" s="1"/>
      <c r="U137" s="1"/>
    </row>
    <row r="138" spans="1:21" ht="190" customHeight="1">
      <c r="A138" s="11" t="s">
        <v>628</v>
      </c>
      <c r="B138" s="11" t="s">
        <v>629</v>
      </c>
      <c r="C138" s="11" t="s">
        <v>630</v>
      </c>
      <c r="D138" s="11" t="s">
        <v>223</v>
      </c>
      <c r="E138" s="11" t="s">
        <v>631</v>
      </c>
      <c r="F138" s="11" t="s">
        <v>632</v>
      </c>
      <c r="G138" s="11" t="s">
        <v>633</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634</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635</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636</v>
      </c>
      <c r="B143" s="4" t="s">
        <v>637</v>
      </c>
      <c r="C143" s="4" t="s">
        <v>638</v>
      </c>
      <c r="D143" s="4" t="s">
        <v>639</v>
      </c>
      <c r="E143" s="4" t="s">
        <v>640</v>
      </c>
      <c r="F143" s="4" t="s">
        <v>641</v>
      </c>
      <c r="G143" s="4" t="s">
        <v>642</v>
      </c>
      <c r="H143" s="4" t="s">
        <v>643</v>
      </c>
      <c r="I143" s="4" t="s">
        <v>644</v>
      </c>
      <c r="J143" s="4" t="s">
        <v>645</v>
      </c>
      <c r="K143" s="4" t="s">
        <v>646</v>
      </c>
      <c r="L143" s="1"/>
      <c r="M143" s="1"/>
      <c r="N143" s="1"/>
      <c r="O143" s="1"/>
      <c r="P143" s="1"/>
      <c r="Q143" s="1"/>
      <c r="R143" s="1"/>
      <c r="S143" s="1"/>
      <c r="T143" s="1"/>
      <c r="U143" s="1"/>
    </row>
    <row r="144" spans="1:21" ht="105" customHeight="1">
      <c r="A144" s="11" t="s">
        <v>647</v>
      </c>
      <c r="B144" s="11" t="s">
        <v>648</v>
      </c>
      <c r="C144" s="11" t="s">
        <v>649</v>
      </c>
      <c r="D144" s="11" t="s">
        <v>650</v>
      </c>
      <c r="E144" s="23"/>
      <c r="F144" s="23"/>
      <c r="G144" s="24" t="str">
        <f t="shared" ref="G144:G150" si="22">IF(AND(ISNUMBER(E144),ISNUMBER(F144)),F144-E144,"")</f>
        <v/>
      </c>
      <c r="H144" s="14"/>
      <c r="I144" s="14"/>
      <c r="J144" s="14"/>
      <c r="K144" s="11" t="s">
        <v>651</v>
      </c>
      <c r="L144" s="1"/>
      <c r="M144" s="1"/>
      <c r="N144" s="1"/>
      <c r="O144" s="1"/>
      <c r="P144" s="1"/>
      <c r="Q144" s="1"/>
      <c r="R144" s="1"/>
      <c r="S144" s="1"/>
      <c r="T144" s="1"/>
      <c r="U144" s="1"/>
    </row>
    <row r="145" spans="1:21" ht="105" customHeight="1">
      <c r="A145" s="10" t="s">
        <v>652</v>
      </c>
      <c r="B145" s="10" t="s">
        <v>653</v>
      </c>
      <c r="C145" s="10" t="s">
        <v>654</v>
      </c>
      <c r="D145" s="10" t="s">
        <v>655</v>
      </c>
      <c r="E145" s="23"/>
      <c r="F145" s="23"/>
      <c r="G145" s="25" t="str">
        <f t="shared" si="22"/>
        <v/>
      </c>
      <c r="H145" s="14"/>
      <c r="I145" s="14"/>
      <c r="J145" s="14"/>
      <c r="K145" s="10" t="s">
        <v>656</v>
      </c>
      <c r="L145" s="1"/>
      <c r="M145" s="1"/>
      <c r="N145" s="1"/>
      <c r="O145" s="1"/>
      <c r="P145" s="1"/>
      <c r="Q145" s="1"/>
      <c r="R145" s="1"/>
      <c r="S145" s="1"/>
      <c r="T145" s="1"/>
      <c r="U145" s="1"/>
    </row>
    <row r="146" spans="1:21" ht="105" customHeight="1">
      <c r="A146" s="11" t="s">
        <v>657</v>
      </c>
      <c r="B146" s="11" t="s">
        <v>658</v>
      </c>
      <c r="C146" s="11" t="s">
        <v>659</v>
      </c>
      <c r="D146" s="11" t="s">
        <v>655</v>
      </c>
      <c r="E146" s="23"/>
      <c r="F146" s="23"/>
      <c r="G146" s="24" t="str">
        <f t="shared" si="22"/>
        <v/>
      </c>
      <c r="H146" s="14"/>
      <c r="I146" s="14"/>
      <c r="J146" s="14"/>
      <c r="K146" s="11" t="s">
        <v>660</v>
      </c>
      <c r="L146" s="1"/>
      <c r="M146" s="1"/>
      <c r="N146" s="1"/>
      <c r="O146" s="1"/>
      <c r="P146" s="1"/>
      <c r="Q146" s="1"/>
      <c r="R146" s="1"/>
      <c r="S146" s="1"/>
      <c r="T146" s="1"/>
      <c r="U146" s="1"/>
    </row>
    <row r="147" spans="1:21" ht="105" customHeight="1">
      <c r="A147" s="10" t="s">
        <v>661</v>
      </c>
      <c r="B147" s="10" t="s">
        <v>662</v>
      </c>
      <c r="C147" s="10" t="s">
        <v>663</v>
      </c>
      <c r="D147" s="10" t="s">
        <v>650</v>
      </c>
      <c r="E147" s="23"/>
      <c r="F147" s="23"/>
      <c r="G147" s="25" t="str">
        <f t="shared" si="22"/>
        <v/>
      </c>
      <c r="H147" s="14"/>
      <c r="I147" s="14"/>
      <c r="J147" s="14"/>
      <c r="K147" s="10" t="s">
        <v>664</v>
      </c>
      <c r="L147" s="1"/>
      <c r="M147" s="1"/>
      <c r="N147" s="1"/>
      <c r="O147" s="1"/>
      <c r="P147" s="1"/>
      <c r="Q147" s="1"/>
      <c r="R147" s="1"/>
      <c r="S147" s="1"/>
      <c r="T147" s="1"/>
      <c r="U147" s="1"/>
    </row>
    <row r="148" spans="1:21" ht="105" customHeight="1">
      <c r="A148" s="11" t="s">
        <v>665</v>
      </c>
      <c r="B148" s="11" t="s">
        <v>666</v>
      </c>
      <c r="C148" s="11" t="s">
        <v>667</v>
      </c>
      <c r="D148" s="11" t="s">
        <v>650</v>
      </c>
      <c r="E148" s="23"/>
      <c r="F148" s="23"/>
      <c r="G148" s="24" t="str">
        <f t="shared" si="22"/>
        <v/>
      </c>
      <c r="H148" s="14"/>
      <c r="I148" s="14"/>
      <c r="J148" s="14"/>
      <c r="K148" s="11" t="s">
        <v>668</v>
      </c>
      <c r="L148" s="1"/>
      <c r="M148" s="1"/>
      <c r="N148" s="1"/>
      <c r="O148" s="1"/>
      <c r="P148" s="1"/>
      <c r="Q148" s="1"/>
      <c r="R148" s="1"/>
      <c r="S148" s="1"/>
      <c r="T148" s="1"/>
      <c r="U148" s="1"/>
    </row>
    <row r="149" spans="1:21" ht="105" customHeight="1">
      <c r="A149" s="10" t="s">
        <v>669</v>
      </c>
      <c r="B149" s="10" t="s">
        <v>670</v>
      </c>
      <c r="C149" s="10" t="s">
        <v>671</v>
      </c>
      <c r="D149" s="10" t="s">
        <v>655</v>
      </c>
      <c r="E149" s="23"/>
      <c r="F149" s="23"/>
      <c r="G149" s="25" t="str">
        <f t="shared" si="22"/>
        <v/>
      </c>
      <c r="H149" s="14"/>
      <c r="I149" s="14"/>
      <c r="J149" s="14"/>
      <c r="K149" s="10" t="s">
        <v>672</v>
      </c>
      <c r="L149" s="1"/>
      <c r="M149" s="1"/>
      <c r="N149" s="1"/>
      <c r="O149" s="1"/>
      <c r="P149" s="1"/>
      <c r="Q149" s="1"/>
      <c r="R149" s="1"/>
      <c r="S149" s="1"/>
      <c r="T149" s="1"/>
      <c r="U149" s="1"/>
    </row>
    <row r="150" spans="1:21" ht="105" customHeight="1">
      <c r="A150" s="11" t="s">
        <v>673</v>
      </c>
      <c r="B150" s="11" t="s">
        <v>674</v>
      </c>
      <c r="C150" s="11" t="s">
        <v>675</v>
      </c>
      <c r="D150" s="11" t="s">
        <v>655</v>
      </c>
      <c r="E150" s="23"/>
      <c r="F150" s="23"/>
      <c r="G150" s="24" t="str">
        <f t="shared" si="22"/>
        <v/>
      </c>
      <c r="H150" s="14"/>
      <c r="I150" s="14"/>
      <c r="J150" s="14"/>
      <c r="K150" s="11" t="s">
        <v>676</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677</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678</v>
      </c>
      <c r="B156" s="4" t="s">
        <v>679</v>
      </c>
      <c r="C156" s="4" t="s">
        <v>680</v>
      </c>
      <c r="D156" s="4" t="s">
        <v>16</v>
      </c>
      <c r="E156" s="4" t="s">
        <v>681</v>
      </c>
      <c r="F156" s="4" t="s">
        <v>682</v>
      </c>
      <c r="G156" s="4" t="s">
        <v>683</v>
      </c>
      <c r="H156" s="4" t="s">
        <v>684</v>
      </c>
      <c r="I156" s="4" t="s">
        <v>685</v>
      </c>
      <c r="J156" s="4" t="s">
        <v>686</v>
      </c>
      <c r="K156" s="4" t="s">
        <v>687</v>
      </c>
      <c r="L156" s="1"/>
      <c r="M156" s="1"/>
      <c r="N156" s="1"/>
      <c r="O156" s="1"/>
      <c r="P156" s="1"/>
      <c r="Q156" s="1"/>
      <c r="R156" s="1"/>
      <c r="S156" s="1"/>
      <c r="T156" s="1"/>
      <c r="U156" s="1"/>
    </row>
    <row r="157" spans="1:21" ht="94" customHeight="1">
      <c r="A157" s="11" t="s">
        <v>688</v>
      </c>
      <c r="B157" s="11" t="s">
        <v>689</v>
      </c>
      <c r="C157" s="11" t="s">
        <v>690</v>
      </c>
      <c r="D157" s="14" t="s">
        <v>288</v>
      </c>
      <c r="E157" s="14"/>
      <c r="F157" s="14"/>
      <c r="G157" s="14"/>
      <c r="H157" s="14"/>
      <c r="I157" s="14"/>
      <c r="J157" s="16"/>
      <c r="K157" s="11" t="s">
        <v>691</v>
      </c>
      <c r="L157" s="1"/>
      <c r="M157" s="1"/>
      <c r="N157" s="1"/>
      <c r="O157" s="1"/>
      <c r="P157" s="1"/>
      <c r="Q157" s="1"/>
      <c r="R157" s="1"/>
      <c r="S157" s="1"/>
      <c r="T157" s="1"/>
      <c r="U157" s="1"/>
    </row>
    <row r="158" spans="1:21" ht="94" customHeight="1">
      <c r="A158" s="10" t="s">
        <v>692</v>
      </c>
      <c r="B158" s="10" t="s">
        <v>693</v>
      </c>
      <c r="C158" s="10" t="s">
        <v>694</v>
      </c>
      <c r="D158" s="14" t="s">
        <v>288</v>
      </c>
      <c r="E158" s="14"/>
      <c r="F158" s="14"/>
      <c r="G158" s="14"/>
      <c r="H158" s="14"/>
      <c r="I158" s="14"/>
      <c r="J158" s="16"/>
      <c r="K158" s="10" t="s">
        <v>695</v>
      </c>
      <c r="L158" s="1"/>
      <c r="M158" s="1"/>
      <c r="N158" s="1"/>
      <c r="O158" s="1"/>
      <c r="P158" s="1"/>
      <c r="Q158" s="1"/>
      <c r="R158" s="1"/>
      <c r="S158" s="1"/>
      <c r="T158" s="1"/>
      <c r="U158" s="1"/>
    </row>
    <row r="159" spans="1:21" ht="94" customHeight="1">
      <c r="A159" s="11" t="s">
        <v>696</v>
      </c>
      <c r="B159" s="11" t="s">
        <v>697</v>
      </c>
      <c r="C159" s="11" t="s">
        <v>698</v>
      </c>
      <c r="D159" s="14" t="s">
        <v>288</v>
      </c>
      <c r="E159" s="14"/>
      <c r="F159" s="14"/>
      <c r="G159" s="14"/>
      <c r="H159" s="14"/>
      <c r="I159" s="14"/>
      <c r="J159" s="16"/>
      <c r="K159" s="11" t="s">
        <v>699</v>
      </c>
      <c r="L159" s="1"/>
      <c r="M159" s="1"/>
      <c r="N159" s="1"/>
      <c r="O159" s="1"/>
      <c r="P159" s="1"/>
      <c r="Q159" s="1"/>
      <c r="R159" s="1"/>
      <c r="S159" s="1"/>
      <c r="T159" s="1"/>
      <c r="U159" s="1"/>
    </row>
    <row r="160" spans="1:21" ht="94" customHeight="1">
      <c r="A160" s="10" t="s">
        <v>700</v>
      </c>
      <c r="B160" s="10" t="s">
        <v>701</v>
      </c>
      <c r="C160" s="10" t="s">
        <v>702</v>
      </c>
      <c r="D160" s="14" t="s">
        <v>288</v>
      </c>
      <c r="E160" s="14"/>
      <c r="F160" s="14"/>
      <c r="G160" s="14"/>
      <c r="H160" s="14"/>
      <c r="I160" s="14"/>
      <c r="J160" s="16"/>
      <c r="K160" s="10" t="s">
        <v>703</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704</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705</v>
      </c>
      <c r="B165" s="4" t="s">
        <v>706</v>
      </c>
      <c r="C165" s="4" t="s">
        <v>707</v>
      </c>
      <c r="D165" s="4" t="s">
        <v>21</v>
      </c>
      <c r="E165" s="4" t="s">
        <v>16</v>
      </c>
      <c r="F165" s="4" t="s">
        <v>708</v>
      </c>
      <c r="G165" s="4" t="s">
        <v>709</v>
      </c>
      <c r="H165" s="4" t="s">
        <v>710</v>
      </c>
      <c r="I165" s="4" t="s">
        <v>711</v>
      </c>
      <c r="J165" s="4" t="s">
        <v>712</v>
      </c>
      <c r="K165" s="4" t="s">
        <v>713</v>
      </c>
      <c r="L165" s="1"/>
      <c r="M165" s="1"/>
      <c r="N165" s="1"/>
      <c r="O165" s="1"/>
      <c r="P165" s="1"/>
      <c r="Q165" s="1"/>
      <c r="R165" s="1"/>
      <c r="S165" s="1"/>
      <c r="T165" s="1"/>
      <c r="U165" s="1"/>
    </row>
    <row r="166" spans="1:21" ht="94" customHeight="1">
      <c r="A166" s="11" t="s">
        <v>714</v>
      </c>
      <c r="B166" s="11" t="s">
        <v>715</v>
      </c>
      <c r="C166" s="11" t="s">
        <v>716</v>
      </c>
      <c r="D166" s="14"/>
      <c r="E166" s="14"/>
      <c r="F166" s="14"/>
      <c r="G166" s="14"/>
      <c r="H166" s="14"/>
      <c r="I166" s="16"/>
      <c r="J166" s="14"/>
      <c r="K166" s="11" t="s">
        <v>717</v>
      </c>
      <c r="L166" s="1"/>
      <c r="M166" s="1"/>
      <c r="N166" s="1"/>
      <c r="O166" s="1"/>
      <c r="P166" s="1"/>
      <c r="Q166" s="1"/>
      <c r="R166" s="1"/>
      <c r="S166" s="1"/>
      <c r="T166" s="1"/>
      <c r="U166" s="1"/>
    </row>
    <row r="167" spans="1:21" ht="94" customHeight="1">
      <c r="A167" s="10" t="s">
        <v>718</v>
      </c>
      <c r="B167" s="10" t="s">
        <v>719</v>
      </c>
      <c r="C167" s="10" t="s">
        <v>720</v>
      </c>
      <c r="D167" s="14"/>
      <c r="E167" s="14"/>
      <c r="F167" s="14"/>
      <c r="G167" s="14"/>
      <c r="H167" s="14"/>
      <c r="I167" s="16"/>
      <c r="J167" s="14"/>
      <c r="K167" s="10" t="s">
        <v>721</v>
      </c>
      <c r="L167" s="1"/>
      <c r="M167" s="1"/>
      <c r="N167" s="1"/>
      <c r="O167" s="1"/>
      <c r="P167" s="1"/>
      <c r="Q167" s="1"/>
      <c r="R167" s="1"/>
      <c r="S167" s="1"/>
      <c r="T167" s="1"/>
      <c r="U167" s="1"/>
    </row>
    <row r="168" spans="1:21" ht="94" customHeight="1">
      <c r="A168" s="11" t="s">
        <v>722</v>
      </c>
      <c r="B168" s="11" t="s">
        <v>723</v>
      </c>
      <c r="C168" s="11" t="s">
        <v>724</v>
      </c>
      <c r="D168" s="14"/>
      <c r="E168" s="14"/>
      <c r="F168" s="14"/>
      <c r="G168" s="14"/>
      <c r="H168" s="14"/>
      <c r="I168" s="16"/>
      <c r="J168" s="14"/>
      <c r="K168" s="11" t="s">
        <v>725</v>
      </c>
      <c r="L168" s="1"/>
      <c r="M168" s="1"/>
      <c r="N168" s="1"/>
      <c r="O168" s="1"/>
      <c r="P168" s="1"/>
      <c r="Q168" s="1"/>
      <c r="R168" s="1"/>
      <c r="S168" s="1"/>
      <c r="T168" s="1"/>
      <c r="U168" s="1"/>
    </row>
    <row r="169" spans="1:21" ht="94" customHeight="1">
      <c r="A169" s="10" t="s">
        <v>726</v>
      </c>
      <c r="B169" s="10" t="s">
        <v>727</v>
      </c>
      <c r="C169" s="10" t="s">
        <v>728</v>
      </c>
      <c r="D169" s="14"/>
      <c r="E169" s="14"/>
      <c r="F169" s="14"/>
      <c r="G169" s="14"/>
      <c r="H169" s="14"/>
      <c r="I169" s="16"/>
      <c r="J169" s="14"/>
      <c r="K169" s="10" t="s">
        <v>729</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730</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731</v>
      </c>
      <c r="B174" s="4" t="s">
        <v>732</v>
      </c>
      <c r="C174" s="4" t="s">
        <v>733</v>
      </c>
      <c r="D174" s="4" t="s">
        <v>734</v>
      </c>
      <c r="E174" s="4" t="s">
        <v>735</v>
      </c>
      <c r="F174" s="4" t="s">
        <v>736</v>
      </c>
      <c r="G174" s="4" t="s">
        <v>737</v>
      </c>
      <c r="H174" s="4" t="s">
        <v>738</v>
      </c>
      <c r="I174" s="4" t="s">
        <v>21</v>
      </c>
      <c r="J174" s="4" t="s">
        <v>739</v>
      </c>
      <c r="K174" s="4" t="s">
        <v>740</v>
      </c>
      <c r="L174" s="1"/>
      <c r="M174" s="1"/>
      <c r="N174" s="1"/>
      <c r="O174" s="1"/>
      <c r="P174" s="1"/>
      <c r="Q174" s="1"/>
      <c r="R174" s="1"/>
      <c r="S174" s="1"/>
      <c r="T174" s="1"/>
      <c r="U174" s="1"/>
    </row>
    <row r="175" spans="1:21" ht="115" customHeight="1">
      <c r="A175" s="11" t="s">
        <v>100</v>
      </c>
      <c r="B175" s="11" t="s">
        <v>741</v>
      </c>
      <c r="C175" s="11" t="s">
        <v>742</v>
      </c>
      <c r="D175" s="26">
        <v>46309</v>
      </c>
      <c r="E175" s="14"/>
      <c r="F175" s="14"/>
      <c r="G175" s="14"/>
      <c r="H175" s="14"/>
      <c r="I175" s="14"/>
      <c r="J175" s="14"/>
      <c r="K175" s="28" t="s">
        <v>743</v>
      </c>
      <c r="L175" s="1"/>
      <c r="M175" s="1"/>
      <c r="N175" s="1"/>
      <c r="O175" s="1"/>
      <c r="P175" s="1"/>
      <c r="Q175" s="1"/>
      <c r="R175" s="1"/>
      <c r="S175" s="1"/>
      <c r="T175" s="1"/>
      <c r="U175" s="1"/>
    </row>
    <row r="176" spans="1:21" ht="115" customHeight="1">
      <c r="A176" s="10" t="s">
        <v>223</v>
      </c>
      <c r="B176" s="10" t="s">
        <v>744</v>
      </c>
      <c r="C176" s="10" t="s">
        <v>745</v>
      </c>
      <c r="D176" s="27">
        <v>46309</v>
      </c>
      <c r="E176" s="14"/>
      <c r="F176" s="14"/>
      <c r="G176" s="14"/>
      <c r="H176" s="14"/>
      <c r="I176" s="14"/>
      <c r="J176" s="14"/>
      <c r="K176" s="29" t="s">
        <v>746</v>
      </c>
      <c r="L176" s="1"/>
      <c r="M176" s="1"/>
      <c r="N176" s="1"/>
      <c r="O176" s="1"/>
      <c r="P176" s="1"/>
      <c r="Q176" s="1"/>
      <c r="R176" s="1"/>
      <c r="S176" s="1"/>
      <c r="T176" s="1"/>
      <c r="U176" s="1"/>
    </row>
    <row r="177" spans="1:21" ht="115" customHeight="1">
      <c r="A177" s="11" t="s">
        <v>175</v>
      </c>
      <c r="B177" s="11" t="s">
        <v>747</v>
      </c>
      <c r="C177" s="11" t="s">
        <v>748</v>
      </c>
      <c r="D177" s="26">
        <v>46309</v>
      </c>
      <c r="E177" s="14"/>
      <c r="F177" s="14"/>
      <c r="G177" s="14"/>
      <c r="H177" s="14"/>
      <c r="I177" s="14"/>
      <c r="J177" s="14"/>
      <c r="K177" s="28" t="s">
        <v>749</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750</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2026-10-17T07:01:19Z</dcterms:modified>
</cp:coreProperties>
</file>