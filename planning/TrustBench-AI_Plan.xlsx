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FA1155B3-3EB3-A845-8252-A7DC40FC409B}"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U53" i="1"/>
  <c r="G53" i="1"/>
  <c r="U52" i="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G46" i="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<sst xmlns="http://schemas.openxmlformats.org/spreadsheetml/2006/main" count="1235" uniqueCount="891">
  <si>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</si>
  <si>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</si>
  <si>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</si>
  <si>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</si>
  <si>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</si>
  <si>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</si>
  <si>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</si>
  <si>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</si>
  <si>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</si>
  <si>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</si>
  <si>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</si>
  <si>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</si>
  <si>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</si>
  <si>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</si>
  <si>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</si>
  <si>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</si>
  <si>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</si>
  <si>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</si>
  <si>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</si>
  <si>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</si>
  <si>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</si>
  <si>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</si>
  <si>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</si>
  <si>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</si>
  <si>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</si>
  <si>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</si>
  <si>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</si>
  <si>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</si>
  <si>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</si>
  <si>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</si>
  <si>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</si>
  <si>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</si>
  <si>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</si>
  <si>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</si>
  <si>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</si>
  <si>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</si>
  <si>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</si>
  <si>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</si>
  <si>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</si>
  <si>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</si>
  <si>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</si>
  <si>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</si>
  <si>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</si>
  <si>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</si>
  <si>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</si>
  <si>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</si>
  <si>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</si>
  <si>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</si>
  <si>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</si>
  <si>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</si>
  <si>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</si>
  <si>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</si>
  <si>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</si>
  <si>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</si>
  <si>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</si>
  <si>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</si>
  <si>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</si>
  <si>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</si>
  <si>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</si>
  <si>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</si>
  <si>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</si>
  <si>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</si>
  <si>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</si>
  <si>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</si>
  <si>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</si>
  <si>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</si>
  <si>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</si>
  <si>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</si>
  <si>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</si>
  <si>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</si>
  <si>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</si>
  <si>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</si>
  <si>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</si>
  <si>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</si>
  <si>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</si>
  <si>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</si>
  <si>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</si>
  <si>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</si>
  <si>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</si>
  <si>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</si>
  <si>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</si>
  <si>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</si>
  <si>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</si>
  <si>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</si>
  <si>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</si>
  <si>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</si>
  <si>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</si>
  <si>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</si>
  <si>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</si>
  <si>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</si>
  <si>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</si>
  <si>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</si>
  <si>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</si>
  <si>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</si>
  <si>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</si>
  <si>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</si>
  <si>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</si>
  <si>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</si>
  <si>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</si>
  <si>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</si>
  <si>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</si>
  <si>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</si>
  <si>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</si>
  <si>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</si>
  <si>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</si>
  <si>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</si>
  <si>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</si>
  <si>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</si>
  <si>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</si>
  <si>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</si>
  <si>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</si>
  <si>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</si>
  <si>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</si>
  <si>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</si>
  <si>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</si>
  <si>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</si>
  <si>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</si>
  <si>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</si>
  <si>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</si>
  <si>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</si>
  <si>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</si>
  <si>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</si>
  <si>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</si>
  <si>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</si>
  <si>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</si>
  <si>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</si>
  <si>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</si>
  <si>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</si>
  <si>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</si>
  <si>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</si>
  <si>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</si>
  <si>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</si>
  <si>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</si>
  <si>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</si>
  <si>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</si>
  <si>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</si>
  <si>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</si>
  <si>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</si>
  <si>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</si>
  <si>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</si>
  <si>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</si>
  <si>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</si>
  <si>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</si>
  <si>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</si>
  <si>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</si>
  <si>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</si>
  <si>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</si>
  <si>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</si>
  <si>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</si>
  <si>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</si>
  <si>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</si>
  <si>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</si>
  <si>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</si>
  <si>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</si>
  <si>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</si>
  <si>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</si>
  <si>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</si>
  <si>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</si>
  <si>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</si>
  <si>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</si>
  <si>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</si>
  <si>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</si>
  <si>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</si>
  <si>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</si>
  <si>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</si>
  <si>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</si>
  <si>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</si>
  <si>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</si>
  <si>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</si>
  <si>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</si>
  <si>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</si>
  <si>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</si>
  <si>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</si>
  <si>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</si>
  <si>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</si>
  <si>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</si>
  <si>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</si>
  <si>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</si>
  <si>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</si>
  <si>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</si>
  <si>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</si>
  <si>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</si>
  <si>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</si>
  <si>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</si>
  <si>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</si>
  <si>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</si>
  <si>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</si>
  <si>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</si>
  <si>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</si>
  <si>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</si>
  <si>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</si>
  <si>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</si>
  <si>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</si>
  <si>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</si>
  <si>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</si>
  <si>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</si>
  <si>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</si>
  <si>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</si>
  <si>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</si>
  <si>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</si>
  <si>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</si>
  <si>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</si>
  <si>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</si>
  <si>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</si>
  <si>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</si>
  <si>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</si>
  <si>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</si>
  <si>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</si>
  <si>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</si>
  <si>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</si>
  <si>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</si>
  <si>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</si>
  <si>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</si>
  <si>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</si>
  <si>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</si>
  <si>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</si>
  <si>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</si>
  <si>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</si>
  <si>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</si>
  <si>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</si>
  <si>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</si>
  <si>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</si>
  <si>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</si>
  <si>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</si>
  <si>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</si>
  <si>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</si>
  <si>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</si>
  <si>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</si>
  <si>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</si>
  <si>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</si>
  <si>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</si>
  <si>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</si>
  <si>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</si>
  <si>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</si>
  <si>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</si>
  <si>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</si>
  <si>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</si>
  <si>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</si>
  <si>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</si>
  <si>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</si>
  <si>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</si>
  <si>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</si>
  <si>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</si>
  <si>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</si>
  <si>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</si>
  <si>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</si>
  <si>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</si>
  <si>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</si>
  <si>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</si>
  <si>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</si>
  <si>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</si>
  <si>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</si>
  <si>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</si>
  <si>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</si>
  <si>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</si>
  <si>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</si>
  <si>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</si>
  <si>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</si>
  <si>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</si>
  <si>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</si>
  <si>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</si>
  <si>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</si>
  <si>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</si>
  <si>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</si>
  <si>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</si>
  <si>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</si>
  <si>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</si>
  <si>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</si>
  <si>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</si>
  <si>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</si>
  <si>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</si>
  <si>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</si>
  <si>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</si>
  <si>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</si>
  <si>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</si>
  <si>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</si>
  <si>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</si>
  <si>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</si>
  <si>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</si>
  <si>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</si>
  <si>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</si>
  <si>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</si>
  <si>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</si>
  <si>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</si>
  <si>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</si>
  <si>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</si>
  <si>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</si>
  <si>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</si>
  <si>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</si>
  <si>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</si>
  <si>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</si>
  <si>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</si>
  <si>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</si>
  <si>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</si>
  <si>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</si>
  <si>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</si>
  <si>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</si>
  <si>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</si>
  <si>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</si>
  <si>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</si>
  <si>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</si>
  <si>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</si>
  <si>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</si>
  <si>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</si>
  <si>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</si>
  <si>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</si>
  <si>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</si>
  <si>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</si>
  <si>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</si>
  <si>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</si>
  <si>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</si>
  <si>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</si>
  <si>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</si>
  <si>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</si>
  <si>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</si>
  <si>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</si>
  <si>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</si>
  <si>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</si>
  <si>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</si>
  <si>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</si>
  <si>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</si>
  <si>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</si>
  <si>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</si>
  <si>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</si>
  <si>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</si>
  <si>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</si>
  <si>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</si>
  <si>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</si>
  <si>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</si>
  <si>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</si>
  <si>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</si>
  <si>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</si>
  <si>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</si>
  <si>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</si>
  <si>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</si>
  <si>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</si>
  <si>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</si>
  <si>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</si>
  <si>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</si>
  <si>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</si>
  <si>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</si>
  <si>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</si>
  <si>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</si>
  <si>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</si>
  <si>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</si>
  <si>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</si>
  <si>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</si>
  <si>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</si>
  <si>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</si>
  <si>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</si>
  <si>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</si>
  <si>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</si>
  <si>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</si>
  <si>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</si>
  <si>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</si>
  <si>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</si>
  <si>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</si>
  <si>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</si>
  <si>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</si>
  <si>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</si>
  <si>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</si>
  <si>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</si>
  <si>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</si>
  <si>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</si>
  <si>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</si>
  <si>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</si>
  <si>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</si>
  <si>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</si>
  <si>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</si>
  <si>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</si>
  <si>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</si>
  <si>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</si>
  <si>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</si>
  <si>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</si>
  <si>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</si>
  <si>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</si>
  <si>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</si>
  <si>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</si>
  <si>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</si>
  <si>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</si>
  <si>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</si>
  <si>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</si>
  <si>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</si>
  <si>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</si>
  <si>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</si>
  <si>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</si>
  <si>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</si>
  <si>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</si>
  <si>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</si>
  <si>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</si>
  <si>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</si>
  <si>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</si>
  <si>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</si>
  <si>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</si>
  <si>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</si>
  <si>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</si>
  <si>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</si>
  <si>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</si>
  <si>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</si>
  <si>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</si>
  <si>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</si>
  <si>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</si>
  <si>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</si>
  <si>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</si>
  <si>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</si>
  <si>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</si>
  <si>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</si>
  <si>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</si>
  <si>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</si>
  <si>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</si>
  <si>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</si>
  <si>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</si>
  <si>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</si>
  <si>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</si>
  <si>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</si>
  <si>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</si>
  <si>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</si>
  <si>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</si>
  <si>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</si>
  <si>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</si>
  <si>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</si>
  <si>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</si>
  <si>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</si>
  <si>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</si>
  <si>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</si>
  <si>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</si>
  <si>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</si>
  <si>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</si>
  <si>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</si>
  <si>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</si>
  <si>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</si>
  <si>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</si>
  <si>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</si>
  <si>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</si>
  <si>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</si>
  <si>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</si>
  <si>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</si>
  <si>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</si>
  <si>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</si>
  <si>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</si>
  <si>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</si>
  <si>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</si>
  <si>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</si>
  <si>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</si>
  <si>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</si>
  <si>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</si>
  <si>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</si>
  <si>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</si>
  <si>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</si>
  <si>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</si>
  <si>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</si>
  <si>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</si>
  <si>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</si>
  <si>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</si>
  <si>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</si>
  <si>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</si>
  <si>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</si>
  <si>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</si>
  <si>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</si>
  <si>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</si>
  <si>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</si>
  <si>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</si>
  <si>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</si>
  <si>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</si>
  <si>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</si>
  <si>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</si>
  <si>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</si>
  <si>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</si>
  <si>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</si>
  <si>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</si>
  <si>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</si>
  <si>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</si>
  <si>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</si>
  <si>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</si>
  <si>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</si>
  <si>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</si>
  <si>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</si>
  <si>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</si>
  <si>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</si>
  <si>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</si>
  <si>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</si>
  <si>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</si>
  <si>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</si>
  <si>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</si>
  <si>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</si>
  <si>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</si>
  <si>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</si>
  <si>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</si>
  <si>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</si>
  <si>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</si>
  <si>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</si>
  <si>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</si>
  <si>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</si>
  <si>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</si>
  <si>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</si>
  <si>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</si>
  <si>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</si>
  <si>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</si>
  <si>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</si>
  <si>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</si>
  <si>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</si>
  <si>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</si>
  <si>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</si>
  <si>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</si>
  <si>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</si>
  <si>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</si>
  <si>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</si>
  <si>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</si>
  <si>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</si>
  <si>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</si>
  <si>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</si>
  <si>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</si>
  <si>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</si>
  <si>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</si>
  <si>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</si>
  <si>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</si>
  <si>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</si>
  <si>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</si>
  <si>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</si>
  <si>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</si>
  <si>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</si>
  <si>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</si>
  <si>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</si>
  <si>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</si>
  <si>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</si>
  <si>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</si>
  <si>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</si>
  <si>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</si>
  <si>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</si>
  <si>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</si>
  <si>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</si>
  <si>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</si>
  <si>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</si>
  <si>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</si>
  <si>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</si>
  <si>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</si>
  <si>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</si>
  <si>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</si>
  <si>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</si>
  <si>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</si>
  <si>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</si>
  <si>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</si>
  <si>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</si>
  <si>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</si>
  <si>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</si>
  <si>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</si>
  <si>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</si>
  <si>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</si>
  <si>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</si>
  <si>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</si>
  <si>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</si>
  <si>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</si>
  <si>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</si>
  <si>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</si>
  <si>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</si>
  <si>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</si>
  <si>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</si>
  <si>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</si>
  <si>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</si>
  <si>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</si>
  <si>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</si>
  <si>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</si>
  <si>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</si>
  <si>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</si>
  <si>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</si>
  <si>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</si>
  <si>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</si>
  <si>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</si>
  <si>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</si>
  <si>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</si>
  <si>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</si>
  <si>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</si>
  <si>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</si>
  <si>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</si>
  <si>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</si>
  <si>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</si>
  <si>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</si>
  <si>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</si>
  <si>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</si>
  <si>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</si>
  <si>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</si>
  <si>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</si>
  <si>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</si>
  <si>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</si>
  <si>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</si>
  <si>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</si>
  <si>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</si>
  <si>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</si>
  <si>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</si>
  <si>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</si>
  <si>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</si>
  <si>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</si>
  <si>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</si>
  <si>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</si>
  <si>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</si>
  <si>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</si>
  <si>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</si>
  <si>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</si>
  <si>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</si>
  <si>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</si>
  <si>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</si>
  <si>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</si>
  <si>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</si>
  <si>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</si>
  <si>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</si>
  <si>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</si>
  <si>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</si>
  <si>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</si>
  <si>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</si>
  <si>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</si>
  <si>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</si>
  <si>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</si>
  <si>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</si>
  <si>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</si>
  <si>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</si>
  <si>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</si>
  <si>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</si>
  <si>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</si>
  <si>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</si>
  <si>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</si>
  <si>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</si>
  <si>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</si>
  <si>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</si>
  <si>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</si>
  <si>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</si>
  <si>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</si>
  <si>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</si>
  <si>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</si>
  <si>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</si>
  <si>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</si>
  <si>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</si>
  <si>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</si>
  <si>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</si>
  <si>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</si>
  <si>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</si>
  <si>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</si>
  <si>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</si>
  <si>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</si>
  <si>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</si>
  <si>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</si>
  <si>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</si>
  <si>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</si>
  <si>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</si>
  <si>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</si>
  <si>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</si>
  <si>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</si>
  <si>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</si>
  <si>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</si>
  <si>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</si>
  <si>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</si>
  <si>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</si>
  <si>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</si>
  <si>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</si>
  <si>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</si>
  <si>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</si>
  <si>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</si>
  <si>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</si>
  <si>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</si>
  <si>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</si>
  <si>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</si>
  <si>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</si>
  <si>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</si>
  <si>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</si>
  <si>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</si>
  <si>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</si>
  <si>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</si>
  <si>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</si>
  <si>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</si>
  <si>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</si>
  <si>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</si>
  <si>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</si>
  <si>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</si>
  <si>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</si>
  <si>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</si>
  <si>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</si>
  <si>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</si>
  <si>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</si>
  <si>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</si>
  <si>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</si>
  <si>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</si>
  <si>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</si>
  <si>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</si>
  <si>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</si>
  <si>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</si>
  <si>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</si>
  <si>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</si>
  <si>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</si>
  <si>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</si>
  <si>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</si>
  <si>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</si>
  <si>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</si>
  <si>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</si>
  <si>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</si>
  <si>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</si>
  <si>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</si>
  <si>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</si>
  <si>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</si>
  <si>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</si>
  <si>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</si>
  <si>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</si>
  <si>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</si>
  <si>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</si>
  <si>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</si>
  <si>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</si>
  <si>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</si>
  <si>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</si>
  <si>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</si>
  <si>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</si>
  <si>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</si>
  <si>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</si>
  <si>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</si>
  <si>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</si>
  <si>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</si>
  <si>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</si>
  <si>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</si>
  <si>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</si>
  <si>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</si>
  <si>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</si>
  <si>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</si>
  <si>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</si>
  <si>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</si>
  <si>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</si>
  <si>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</si>
  <si>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</si>
  <si>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</si>
  <si>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</si>
  <si>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</si>
  <si>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</si>
  <si>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</si>
  <si>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</si>
  <si>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</si>
  <si>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</si>
  <si>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</si>
  <si>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</si>
  <si>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</si>
  <si>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</si>
  <si>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</si>
  <si>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</si>
  <si>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</si>
  <si>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</si>
  <si>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</si>
  <si>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</si>
  <si>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</si>
  <si>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</si>
  <si>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</si>
  <si>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</si>
  <si>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</si>
  <si>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</si>
  <si>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</si>
  <si>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</si>
  <si>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</si>
  <si>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</si>
  <si>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</si>
  <si>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</si>
  <si>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</si>
  <si>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</si>
  <si>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</si>
  <si>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</si>
  <si>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</si>
  <si>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</si>
  <si>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</si>
  <si>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</si>
  <si>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</si>
  <si>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</si>
  <si>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</si>
  <si>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</si>
  <si>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</si>
  <si>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</si>
  <si>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</si>
  <si>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</si>
  <si>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</si>
  <si>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</si>
  <si>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</si>
  <si>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</si>
  <si>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</si>
  <si>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</si>
  <si>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</si>
  <si>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</si>
  <si>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</si>
  <si>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</si>
  <si>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</si>
  <si>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</si>
  <si>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</si>
  <si>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</si>
  <si>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</si>
  <si>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</si>
  <si>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</si>
  <si>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</si>
  <si>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</si>
  <si>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</si>
  <si>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</si>
  <si>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</si>
  <si>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</si>
  <si>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</si>
  <si>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</si>
  <si>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</si>
  <si>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</si>
  <si>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</si>
  <si>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</si>
  <si>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</si>
  <si>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</si>
  <si>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</si>
  <si>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</si>
  <si>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</si>
  <si>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</si>
  <si>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</si>
  <si>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</si>
  <si>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</si>
  <si>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</si>
  <si>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</si>
  <si>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</si>
  <si>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</si>
  <si>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</si>
  <si>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</si>
  <si>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</si>
  <si>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</si>
  <si>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</si>
  <si>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</si>
  <si>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</si>
  <si>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</si>
  <si>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</si>
  <si>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</si>
  <si>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</si>
  <si>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</si>
  <si>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</si>
  <si>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</si>
  <si>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</si>
  <si>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</si>
  <si>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</si>
  <si>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</si>
  <si>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</si>
  <si>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</si>
  <si>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</si>
  <si>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</si>
  <si>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</si>
  <si>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</si>
  <si>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</si>
  <si>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</si>
  <si>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</si>
  <si>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</si>
  <si>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</si>
  <si>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</si>
  <si>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</si>
  <si>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</si>
  <si>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</si>
  <si>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</si>
  <si>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</si>
  <si>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</si>
  <si>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</si>
  <si>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</si>
  <si>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</si>
  <si>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</si>
  <si>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</si>
  <si>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</si>
  <si>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</si>
  <si>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</si>
  <si>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</si>
  <si>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</si>
  <si>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</si>
  <si>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</si>
  <si>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</si>
  <si>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</si>
  <si>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</si>
  <si>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</si>
  <si>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</si>
  <si>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</si>
  <si>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</si>
  <si>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</si>
  <si>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</si>
  <si>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</si>
  <si>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</si>
  <si>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</si>
  <si>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</si>
  <si>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</si>
  <si>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</si>
  <si>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</si>
  <si>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</si>
  <si>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</si>
  <si>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</si>
  <si>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</si>
  <si>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</si>
  <si>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</si>
  <si>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</si>
  <si>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</si>
  <si>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</si>
  <si>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</si>
  <si>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</si>
  <si>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</si>
  <si>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</si>
  <si>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configs/deploy/public-demo.json; scripts/check-deployment.py; scripts/deploy-hf-space.py; tests/deploy/</t>
  </si>
  <si>
    <t>Staging done 2026-10-17, public URL not yet: constrain-only deployment profile (public-demo: 2 pairs per hosted run, 40 shared pairs a day; widening refused at startup), hardened compose deployment (read-only, cap_drop ALL, secrets as files, loopback bind), uid-1000 image with healthcheck, Hugging Face Space deploy script (git archive HEAD only). scripts/check-deployment.py 20/20 on compose with live runs, 20/20 on a staging profile with the budget exhausted, 20/20 on the exact Space image; browser live run (project key) and instant run done, exhausted budget falls back to Instant with a clear message; key and operator token absent from both images, run data and logs. Found and fixed: deploy/secrets was in the first local image build context (deleted unrun; .dockerignore and tests/deploy now prevent it). BLOCKED for completion: acceptance needs a public URL from the GitHub README; no GitHub repository exists for this project yet and the host needs the owner's account. Next: owner publishes the repo, creates a Hugging Face account and write token, runs scripts/deploy-hf-space.py --set-secrets, then scripts/check-deployment.py --url &lt;space url&gt; --live and the README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</si>
</sst>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44" activePane="bottomRight" state="frozen"/>
      <selection pane="topRight"/>
      <selection pane="bottomLeft"/>
      <selection pane="bottomRight" activeCell="G46" sqref="G46"/>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40</v>
      </c>
      <c r="C5" s="6">
        <f>IF(A5=0,0,B5/A5)</f>
        <v>0.55555555555555558</v>
      </c>
      <c r="D5" s="5">
        <f>COUNTIFS($D$12:$D$83,"Blocked")</f>
        <v>0</v>
      </c>
      <c r="E5" s="5">
        <f>SUM($H$12:$H$83)</f>
        <v>357</v>
      </c>
      <c r="F5" s="5">
        <f>SUMIFS($H$12:$H$83,$D$12:$D$83,"&lt;&gt;Completed")</f>
        <v>172</v>
      </c>
      <c r="G5" s="6">
        <f>COUNTIFS($Q$12:$Q$83,"Core",$D$12:$D$83,"Completed")/COUNTIFS($Q$12:$Q$83,"Core")</f>
        <v>0.7407407407407407</v>
      </c>
      <c r="H5" s="7">
        <f>IF(B7&gt;0,SUMIFS($H$12:$H$83,$Q$12:$Q$83,"Core",$D$12:$D$83,"&lt;&gt;Completed")/B7,"Set hours/week")</f>
        <v>4</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558</v>
      </c>
      <c r="E52" s="11" t="s">
        <v>391</v>
      </c>
      <c r="F52" s="11"/>
      <c r="G52" s="11" t="str">
        <f t="shared" si="2"/>
        <v>In Progress</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288</v>
      </c>
      <c r="E53" s="10" t="s">
        <v>399</v>
      </c>
      <c r="F53" s="10"/>
      <c r="G53" s="10" t="str">
        <f t="shared" si="2"/>
        <v>Waiting</v>
      </c>
      <c r="H53" s="18">
        <v>3</v>
      </c>
      <c r="I53" s="14"/>
      <c r="J53" s="16"/>
      <c r="K53" s="10" t="s">
        <v>407</v>
      </c>
      <c r="L53" s="10" t="s">
        <v>408</v>
      </c>
      <c r="M53" s="10" t="s">
        <v>409</v>
      </c>
      <c r="N53" s="10" t="s">
        <v>410</v>
      </c>
      <c r="O53" s="10" t="s">
        <v>411</v>
      </c>
      <c r="P53" s="10" t="s">
        <v>412</v>
      </c>
      <c r="Q53" s="10" t="s">
        <v>43</v>
      </c>
      <c r="R53" s="10"/>
      <c r="S53" s="14"/>
      <c r="T53" s="14"/>
      <c r="U53" s="10">
        <f t="shared" si="3"/>
        <v>0</v>
      </c>
    </row>
    <row r="54" spans="1:21" ht="64" customHeight="1">
      <c r="A54" s="12" t="s">
        <v>413</v>
      </c>
      <c r="B54" s="12" t="s">
        <v>414</v>
      </c>
      <c r="C54" s="12" t="s">
        <v>415</v>
      </c>
      <c r="D54" s="13" t="s">
        <v>288</v>
      </c>
      <c r="E54" s="12" t="s">
        <v>360</v>
      </c>
      <c r="F54" s="12"/>
      <c r="G54" s="12" t="str">
        <f t="shared" si="2"/>
        <v>Ready</v>
      </c>
      <c r="H54" s="17">
        <v>4</v>
      </c>
      <c r="I54" s="13"/>
      <c r="J54" s="15"/>
      <c r="K54" s="12" t="s">
        <v>416</v>
      </c>
      <c r="L54" s="12" t="s">
        <v>417</v>
      </c>
      <c r="M54" s="12" t="s">
        <v>418</v>
      </c>
      <c r="N54" s="12" t="s">
        <v>419</v>
      </c>
      <c r="O54" s="12" t="s">
        <v>420</v>
      </c>
      <c r="P54" s="12" t="s">
        <v>421</v>
      </c>
      <c r="Q54" s="12" t="s">
        <v>43</v>
      </c>
      <c r="R54" s="12" t="s">
        <v>53</v>
      </c>
      <c r="S54" s="13"/>
      <c r="T54" s="13"/>
      <c r="U54" s="10">
        <f t="shared" si="3"/>
        <v>0</v>
      </c>
    </row>
    <row r="55" spans="1:21" ht="64" customHeight="1">
      <c r="A55" s="10" t="s">
        <v>422</v>
      </c>
      <c r="B55" s="10" t="s">
        <v>414</v>
      </c>
      <c r="C55" s="10" t="s">
        <v>423</v>
      </c>
      <c r="D55" s="14" t="s">
        <v>288</v>
      </c>
      <c r="E55" s="10" t="s">
        <v>413</v>
      </c>
      <c r="F55" s="10"/>
      <c r="G55" s="10" t="str">
        <f t="shared" si="2"/>
        <v>Waiting</v>
      </c>
      <c r="H55" s="18">
        <v>5</v>
      </c>
      <c r="I55" s="14"/>
      <c r="J55" s="16"/>
      <c r="K55" s="10" t="s">
        <v>424</v>
      </c>
      <c r="L55" s="10" t="s">
        <v>425</v>
      </c>
      <c r="M55" s="10" t="s">
        <v>426</v>
      </c>
      <c r="N55" s="10" t="s">
        <v>427</v>
      </c>
      <c r="O55" s="10" t="s">
        <v>428</v>
      </c>
      <c r="P55" s="10" t="s">
        <v>429</v>
      </c>
      <c r="Q55" s="10" t="s">
        <v>43</v>
      </c>
      <c r="R55" s="10"/>
      <c r="S55" s="14"/>
      <c r="T55" s="14"/>
      <c r="U55" s="10">
        <f t="shared" si="3"/>
        <v>0</v>
      </c>
    </row>
    <row r="56" spans="1:21" ht="64" customHeight="1">
      <c r="A56" s="11" t="s">
        <v>430</v>
      </c>
      <c r="B56" s="11" t="s">
        <v>414</v>
      </c>
      <c r="C56" s="11" t="s">
        <v>431</v>
      </c>
      <c r="D56" s="14" t="s">
        <v>288</v>
      </c>
      <c r="E56" s="11" t="s">
        <v>422</v>
      </c>
      <c r="F56" s="11"/>
      <c r="G56" s="11" t="str">
        <f t="shared" si="2"/>
        <v>Waiting</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4</v>
      </c>
      <c r="D97" s="11">
        <f t="shared" si="8"/>
        <v>1</v>
      </c>
      <c r="E97" s="11">
        <f t="shared" si="9"/>
        <v>1</v>
      </c>
      <c r="F97" s="11">
        <f t="shared" si="10"/>
        <v>0</v>
      </c>
      <c r="G97" s="20">
        <f t="shared" si="11"/>
        <v>0.66666666666666663</v>
      </c>
      <c r="H97" s="11">
        <f t="shared" si="12"/>
        <v>25</v>
      </c>
      <c r="I97" s="11">
        <f t="shared" si="13"/>
        <v>7</v>
      </c>
      <c r="J97" s="11">
        <f t="shared" si="14"/>
        <v>0</v>
      </c>
      <c r="K97" s="1"/>
      <c r="L97" s="1"/>
      <c r="M97" s="1"/>
      <c r="N97" s="1"/>
      <c r="O97" s="1"/>
      <c r="P97" s="1"/>
      <c r="Q97" s="1"/>
      <c r="R97" s="1"/>
      <c r="S97" s="1"/>
      <c r="T97" s="1"/>
      <c r="U97" s="1"/>
    </row>
    <row r="98" spans="1:21" ht="38" customHeight="1">
      <c r="A98" s="10" t="s">
        <v>414</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2026-10-17T11:28:18Z</dcterms:modified>
</cp:coreProperties>
</file>