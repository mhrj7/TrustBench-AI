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0eec0980c140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4f5b2c90e45742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8797d922b24bbc" /><Relationship Type="http://schemas.openxmlformats.org/officeDocument/2006/relationships/theme" Target="/xl/theme/theme1.xml" Id="R313b9fbaf9894167" /><Relationship Type="http://schemas.openxmlformats.org/officeDocument/2006/relationships/sharedStrings" Target="/xl/sharedStrings.xml" Id="R91cfec3194f14ff4" /><Relationship Type="http://schemas.openxmlformats.org/officeDocument/2006/relationships/worksheet" Target="/xl/worksheets/sheet1.xml" Id="R4f5b2c90e457421e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8f4185b5b8448fd" /><Relationship Type="http://schemas.openxmlformats.org/officeDocument/2006/relationships/table" Target="/xl/tables/table2.xml" Id="Rb884a7ddb68a4413" /><Relationship Type="http://schemas.openxmlformats.org/officeDocument/2006/relationships/table" Target="/xl/tables/table3.xml" Id="Rbae22ea264a34e9e" /><Relationship Type="http://schemas.openxmlformats.org/officeDocument/2006/relationships/table" Target="/xl/tables/table4.xml" Id="R0da3f48df53f4bba" /><Relationship Type="http://schemas.openxmlformats.org/officeDocument/2006/relationships/table" Target="/xl/tables/table5.xml" Id="Rf5caf5b2b47744a6" /><Relationship Type="http://schemas.openxmlformats.org/officeDocument/2006/relationships/table" Target="/xl/tables/table6.xml" Id="Ree393a0458c24c4a" /><Relationship Type="http://schemas.openxmlformats.org/officeDocument/2006/relationships/table" Target="/xl/tables/table7.xml" Id="R468c82279fd74f57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12</x:v>
      </x:c>
      <x:c r="C5" s="13" t="n">
        <x:f>IF(A5=0,0,B5/A5)</x:f>
        <x:v>0.2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240</x:v>
      </x:c>
      <x:c r="G5" s="13" t="n">
        <x:f>COUNTIFS($Q$12:$Q$71,"Core",$D$12:$D$71,"Completed")/COUNTIFS($Q$12:$Q$71,"Core")</x:f>
        <x:v>0.2222222222222222</x:v>
      </x:c>
      <x:c r="H5" s="14" t="n">
        <x:f>IF(B7&gt;0,SUMIFS($H$12:$H$71,$Q$12:$Q$71,"Core",$D$12:$D$71,"&lt;&gt;Completed")/B7,"Set hours/week")</x:f>
        <x:v>15.666666666666666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Completed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Done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>
        <x:v>/Volumes/MHRJ/TrustBench-AI/data/benign.jsonl</x:v>
      </x:c>
      <x:c r="T19" s="23"/>
      <x:c r="U19" s="19" t="n">
        <x:f>IF(LEN(S19)&gt;0,1,0)</x:f>
        <x:v>1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Completed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Done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>
        <x:v>/Volumes/MHRJ/TrustBench-AI/data/attacks.jsonl</x:v>
      </x:c>
      <x:c r="T20" s="23"/>
      <x:c r="U20" s="19" t="n">
        <x:f>IF(LEN(S20)&gt;0,1,0)</x:f>
        <x:v>1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Completed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Done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>
        <x:v>/Volumes/MHRJ/TrustBench-AI/data/splits.json</x:v>
      </x:c>
      <x:c r="T21" s="23"/>
      <x:c r="U21" s="19" t="n">
        <x:f>IF(LEN(S21)&gt;0,1,0)</x:f>
        <x:v>1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Completed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Done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>
        <x:v>/Volumes/MHRJ/TrustBench-AI/reports/data-validation.json</x:v>
      </x:c>
      <x:c r="T22" s="23"/>
      <x:c r="U22" s="19" t="n">
        <x:f>IF(LEN(S22)&gt;0,1,0)</x:f>
        <x:v>1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Completed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Done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>
        <x:v>/Volumes/MHRJ/TrustBench-AI/tests/smoke/report.json</x:v>
      </x:c>
      <x:c r="T23" s="23"/>
      <x:c r="U23" s="19" t="n">
        <x:f>IF(LEN(S23)&gt;0,1,0)</x:f>
        <x:v>1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Not Started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Ready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/>
      <x:c r="T24" s="22" t="str"/>
      <x:c r="U24" s="19" t="n">
        <x:f>IF(LEN(S24)&gt;0,1,0)</x:f>
        <x:v>0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Not Started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Waiting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/>
      <x:c r="T25" s="23" t="str"/>
      <x:c r="U25" s="19" t="n">
        <x:f>IF(LEN(S25)&gt;0,1,0)</x:f>
        <x:v>0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Waiting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6</x:v>
      </x:c>
      <x:c r="D80" s="19" t="n">
        <x:f>COUNTIFS($B$12:$B$71,A80,$D$12:$D$71,"Not Started")</x:f>
        <x:v>0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1</x:v>
      </x:c>
      <x:c r="H80" s="19" t="n">
        <x:f>SUMIFS($H$12:$H$71,$B$12:$B$71,A80)</x:f>
        <x:v>24</x:v>
      </x:c>
      <x:c r="I80" s="19" t="n">
        <x:f>SUMIFS($H$12:$H$71,$B$12:$B$71,A80,$D$12:$D$71,"&lt;&gt;Completed")</x:f>
        <x:v>0</x:v>
      </x:c>
      <x:c r="J80" s="19" t="n">
        <x:f>COUNTIFS($B$12:$B$71,A80,$G$12:$G$71,"Ready")</x:f>
        <x:v>0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0</x:v>
      </x:c>
      <x:c r="D81" s="20" t="n">
        <x:f>COUNTIFS($B$12:$B$71,A81,$D$12:$D$71,"Not Started")</x:f>
        <x:v>6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</x:v>
      </x:c>
      <x:c r="H81" s="20" t="n">
        <x:f>SUMIFS($H$12:$H$71,$B$12:$B$71,A81)</x:f>
        <x:v>27</x:v>
      </x:c>
      <x:c r="I81" s="20" t="n">
        <x:f>SUMIFS($H$12:$H$71,$B$12:$B$71,A81,$D$12:$D$71,"&lt;&gt;Completed")</x:f>
        <x:v>27</x:v>
      </x:c>
      <x:c r="J81" s="20" t="n">
        <x:f>COUNTIFS($B$12:$B$71,A81,$G$12:$G$71,"Ready")</x:f>
        <x:v>1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78f4185b5b8448fd"/>
    <x:tablePart xmlns:r="http://schemas.openxmlformats.org/officeDocument/2006/relationships" r:id="Rb884a7ddb68a4413"/>
    <x:tablePart xmlns:r="http://schemas.openxmlformats.org/officeDocument/2006/relationships" r:id="Rbae22ea264a34e9e"/>
    <x:tablePart xmlns:r="http://schemas.openxmlformats.org/officeDocument/2006/relationships" r:id="R0da3f48df53f4bba"/>
    <x:tablePart xmlns:r="http://schemas.openxmlformats.org/officeDocument/2006/relationships" r:id="Rf5caf5b2b47744a6"/>
    <x:tablePart xmlns:r="http://schemas.openxmlformats.org/officeDocument/2006/relationships" r:id="Ree393a0458c24c4a"/>
    <x:tablePart xmlns:r="http://schemas.openxmlformats.org/officeDocument/2006/relationships" r:id="R468c82279fd74f57"/>
  </x:tableParts>
</x:worksheet>
</file>