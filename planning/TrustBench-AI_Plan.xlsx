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DCC9BD2C-1513-4E42-80A6-7F97B96AF2D9}"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U58" i="1"/>
  <c r="G59" i="1" s="1"/>
  <c r="U57" i="1"/>
  <c r="G58" i="1" s="1"/>
  <c r="U56" i="1"/>
  <c r="G57" i="1" s="1"/>
  <c r="U55" i="1"/>
  <c r="G56" i="1" s="1"/>
  <c r="U54" i="1"/>
  <c r="G55" i="1" s="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<sst xmlns="http://schemas.openxmlformats.org/spreadsheetml/2006/main" count="1247" uniqueCount="903">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</sst>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8"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47</v>
      </c>
      <c r="C5" s="6">
        <f>IF(A5=0,0,B5/A5)</f>
        <v>0.65277777777777779</v>
      </c>
      <c r="D5" s="5">
        <f>COUNTIFS($D$12:$D$83,"Blocked")</f>
        <v>0</v>
      </c>
      <c r="E5" s="5">
        <f>SUM($H$12:$H$83)</f>
        <v>357</v>
      </c>
      <c r="F5" s="5">
        <f>SUMIFS($H$12:$H$83,$D$12:$D$83,"&lt;&gt;Completed")</f>
        <v>143</v>
      </c>
      <c r="G5" s="6">
        <f>COUNTIFS($Q$12:$Q$83,"Core",$D$12:$D$83,"Completed")/COUNTIFS($Q$12:$Q$83,"Core")</f>
        <v>0.87037037037037035</v>
      </c>
      <c r="H5" s="7">
        <f>IF(B7&gt;0,SUMIFS($H$12:$H$83,$Q$12:$Q$83,"Core",$D$12:$D$83,"&lt;&gt;Completed")/B7,"Set hours/week")</f>
        <v>1.5833333333333333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288</v>
      </c>
      <c r="E59" s="10" t="s">
        <v>446</v>
      </c>
      <c r="F59" s="10"/>
      <c r="G59" s="10" t="str">
        <f t="shared" si="2"/>
        <v>Ready</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5</v>
      </c>
      <c r="D98" s="10">
        <f t="shared" si="8"/>
        <v>1</v>
      </c>
      <c r="E98" s="10">
        <f t="shared" si="9"/>
        <v>0</v>
      </c>
      <c r="F98" s="10">
        <f t="shared" si="10"/>
        <v>0</v>
      </c>
      <c r="G98" s="21">
        <f t="shared" si="11"/>
        <v>0.83333333333333337</v>
      </c>
      <c r="H98" s="10">
        <f t="shared" si="12"/>
        <v>25</v>
      </c>
      <c r="I98" s="10">
        <f t="shared" si="13"/>
        <v>3</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2026-10-18T02:17:01Z</dcterms:modified>
</cp:coreProperties>
</file>