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7445A85D-55A6-D047-AC56-AA2CB9DAD079}"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<sst xmlns="http://schemas.openxmlformats.org/spreadsheetml/2006/main" count="1253" uniqueCount="909">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</sst>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4"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50</v>
      </c>
      <c r="C5" s="6">
        <f>IF(A5=0,0,B5/A5)</f>
        <v>0.69444444444444442</v>
      </c>
      <c r="D5" s="5">
        <f>COUNTIFS($D$12:$D$83,"Blocked")</f>
        <v>0</v>
      </c>
      <c r="E5" s="5">
        <f>SUM($H$12:$H$83)</f>
        <v>357</v>
      </c>
      <c r="F5" s="5">
        <f>SUMIFS($H$12:$H$83,$D$12:$D$83,"&lt;&gt;Completed")</f>
        <v>134</v>
      </c>
      <c r="G5" s="6">
        <f>COUNTIFS($Q$12:$Q$83,"Core",$D$12:$D$83,"Completed")/COUNTIFS($Q$12:$Q$83,"Core")</f>
        <v>0.92592592592592593</v>
      </c>
      <c r="H5" s="7">
        <f>IF(B7&gt;0,SUMIFS($H$12:$H$83,$Q$12:$Q$83,"Core",$D$12:$D$83,"&lt;&gt;Completed")/B7,"Set hours/week")</f>
        <v>0.83333333333333337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288</v>
      </c>
      <c r="E62" s="11" t="s">
        <v>470</v>
      </c>
      <c r="F62" s="11"/>
      <c r="G62" s="11" t="str">
        <f t="shared" si="2"/>
        <v>Ready</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2</v>
      </c>
      <c r="D99" s="11">
        <f t="shared" si="8"/>
        <v>4</v>
      </c>
      <c r="E99" s="11">
        <f t="shared" si="9"/>
        <v>0</v>
      </c>
      <c r="F99" s="11">
        <f t="shared" si="10"/>
        <v>0</v>
      </c>
      <c r="G99" s="20">
        <f t="shared" si="11"/>
        <v>0.33333333333333331</v>
      </c>
      <c r="H99" s="11">
        <f t="shared" si="12"/>
        <v>16</v>
      </c>
      <c r="I99" s="11">
        <f t="shared" si="13"/>
        <v>10</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2026-10-18T06:51:33Z</dcterms:modified>
</cp:coreProperties>
</file>