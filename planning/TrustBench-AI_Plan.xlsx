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BF6408D4-1D6D-194A-8A2E-7A2F9A599BD7}" xr6:coauthVersionLast="47" xr6:coauthVersionMax="47" xr10:uidLastSave="{00000000-0000-0000-0000-000000000000}"/>
  <bookViews>
    <workbookView minimized="1" xWindow="-21600" yWindow="-7640" windowWidth="21600" windowHeight="3780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U74" i="1"/>
  <c r="G75" i="1"/>
  <c r="U67" i="1"/>
  <c r="U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6" i="1" s="1"/>
  <c r="U64" i="1"/>
  <c r="G65" i="1" s="1"/>
  <c r="U63" i="1"/>
  <c r="G64" i="1" s="1"/>
  <c r="U62" i="1"/>
  <c r="G63" i="1" s="1"/>
  <c r="U61" i="1"/>
  <c r="G62" i="1" s="1"/>
  <c r="U60" i="1"/>
  <c r="G61" i="1" s="1"/>
  <c r="U59" i="1"/>
  <c r="U58" i="1"/>
  <c r="G59" i="1" s="1"/>
  <c r="U57" i="1"/>
  <c r="G58" i="1" s="1"/>
  <c r="U56" i="1"/>
  <c r="G57" i="1" s="1"/>
  <c r="U55" i="1"/>
  <c r="G56" i="1" s="1"/>
  <c r="U54" i="1"/>
  <c r="G55" i="1" s="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U12" i="1"/>
  <c r="G14" i="1" s="1"/>
  <c r="G12" i="1"/>
  <c r="I5" i="1"/>
  <c r="H5" i="1"/>
  <c r="G5" i="1"/>
  <c r="F5" i="1"/>
  <c r="E5" i="1"/>
  <c r="D5" i="1"/>
  <c r="B5" i="1"/>
  <c r="A5" i="1"/>
  <c r="G67" i="1" l="1"/>
  <c r="G60" i="1"/>
  <c r="G48" i="1"/>
  <c r="J97" i="1" s="1"/>
  <c r="G46" i="1"/>
  <c r="G43" i="1"/>
  <c r="G100" i="1"/>
  <c r="G74"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<sst xmlns="http://schemas.openxmlformats.org/spreadsheetml/2006/main" count="1283" uniqueCount="934">
  <si>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</si>
  <si>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</si>
  <si>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</si>
  <si>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</si>
  <si>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</si>
  <si>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</si>
  <si>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</si>
  <si>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</si>
  <si>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</si>
  <si>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</si>
  <si>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</si>
  <si>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</si>
  <si>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</si>
  <si>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</si>
  <si>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</si>
  <si>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</si>
  <si>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</si>
  <si>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</si>
  <si>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</si>
  <si>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</si>
  <si>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</si>
  <si>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</si>
  <si>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</si>
  <si>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</si>
  <si>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</si>
  <si>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</si>
  <si>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</si>
  <si>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</si>
  <si>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</si>
  <si>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</si>
  <si>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</si>
  <si>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</si>
  <si>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</si>
  <si>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</si>
  <si>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</si>
  <si>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</si>
  <si>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</si>
  <si>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</si>
  <si>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</si>
  <si>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</si>
  <si>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</si>
  <si>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</si>
  <si>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</si>
  <si>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</si>
  <si>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</si>
  <si>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</si>
  <si>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</si>
  <si>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</si>
  <si>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</si>
  <si>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</si>
  <si>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</si>
  <si>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</si>
  <si>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</si>
  <si>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</si>
  <si>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</si>
  <si>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</si>
  <si>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</si>
  <si>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</si>
  <si>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</si>
  <si>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</si>
  <si>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</si>
  <si>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</si>
  <si>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</si>
  <si>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</si>
  <si>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</si>
  <si>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</si>
  <si>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</si>
  <si>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</si>
  <si>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</si>
  <si>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</si>
  <si>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</si>
  <si>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</si>
  <si>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</si>
  <si>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</si>
  <si>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</si>
  <si>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</si>
  <si>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</si>
  <si>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</si>
  <si>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</si>
  <si>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</si>
  <si>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</si>
  <si>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</si>
  <si>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</si>
  <si>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</si>
  <si>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</si>
  <si>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</si>
  <si>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</si>
  <si>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</si>
  <si>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</si>
  <si>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</si>
  <si>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</si>
  <si>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</si>
  <si>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</si>
  <si>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</si>
  <si>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</si>
  <si>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</si>
  <si>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</si>
  <si>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</si>
  <si>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</si>
  <si>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</si>
  <si>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</si>
  <si>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</si>
  <si>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</si>
  <si>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</si>
  <si>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</si>
  <si>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</si>
  <si>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</si>
  <si>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</si>
  <si>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</si>
  <si>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</si>
  <si>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</si>
  <si>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</si>
  <si>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</si>
  <si>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</si>
  <si>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</si>
  <si>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</si>
  <si>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</si>
  <si>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</si>
  <si>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</si>
  <si>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</si>
  <si>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</si>
  <si>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</si>
  <si>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</si>
  <si>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</si>
  <si>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</si>
  <si>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</si>
  <si>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</si>
  <si>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</si>
  <si>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</si>
  <si>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</si>
  <si>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</si>
  <si>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</si>
  <si>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</si>
  <si>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</si>
  <si>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</si>
  <si>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</si>
  <si>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</si>
  <si>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</si>
  <si>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</si>
  <si>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</si>
  <si>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</si>
  <si>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</si>
  <si>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</si>
  <si>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</si>
  <si>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</si>
  <si>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</si>
  <si>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</si>
  <si>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</si>
  <si>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</si>
  <si>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</si>
  <si>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</si>
  <si>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</si>
  <si>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</si>
  <si>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</si>
  <si>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</si>
  <si>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</si>
  <si>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</si>
  <si>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</si>
  <si>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</si>
  <si>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</si>
  <si>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</si>
  <si>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</si>
  <si>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</si>
  <si>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</si>
  <si>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</si>
  <si>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</si>
  <si>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</si>
  <si>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</si>
  <si>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</si>
  <si>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</si>
  <si>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</si>
  <si>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</si>
  <si>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</si>
  <si>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</si>
  <si>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</si>
  <si>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</si>
  <si>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</si>
  <si>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</si>
  <si>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</si>
  <si>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</si>
  <si>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</si>
  <si>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</si>
  <si>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</si>
  <si>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</si>
  <si>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</si>
  <si>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</si>
  <si>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</si>
  <si>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</si>
  <si>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</si>
  <si>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</si>
  <si>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</si>
  <si>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</si>
  <si>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</si>
  <si>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</si>
  <si>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</si>
  <si>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</si>
  <si>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</si>
  <si>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</si>
  <si>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</si>
  <si>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</si>
  <si>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</si>
  <si>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</si>
  <si>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</si>
  <si>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</si>
  <si>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</si>
  <si>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</si>
  <si>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</si>
  <si>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</si>
  <si>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</si>
  <si>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</si>
  <si>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</si>
  <si>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</si>
  <si>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</si>
  <si>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</si>
  <si>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</si>
  <si>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</si>
  <si>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</si>
  <si>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</si>
  <si>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</si>
  <si>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</si>
  <si>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</si>
  <si>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</si>
  <si>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</si>
  <si>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</si>
  <si>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</si>
  <si>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</si>
  <si>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</si>
  <si>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</si>
  <si>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</si>
  <si>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</si>
  <si>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</si>
  <si>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</si>
  <si>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</si>
  <si>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</si>
  <si>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</si>
  <si>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</si>
  <si>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</si>
  <si>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</si>
  <si>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</si>
  <si>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</si>
  <si>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</si>
  <si>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</si>
  <si>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</si>
  <si>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</si>
  <si>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</si>
  <si>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</si>
  <si>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</si>
  <si>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</si>
  <si>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</si>
  <si>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</si>
  <si>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</si>
  <si>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</si>
  <si>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</si>
  <si>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</si>
  <si>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</si>
  <si>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</si>
  <si>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</si>
  <si>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</si>
  <si>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</si>
  <si>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</si>
  <si>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</si>
  <si>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</si>
  <si>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</si>
  <si>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</si>
  <si>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</si>
  <si>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</si>
  <si>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</si>
  <si>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</si>
  <si>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</si>
  <si>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</si>
  <si>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</si>
  <si>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</si>
  <si>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</si>
  <si>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</si>
  <si>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</si>
  <si>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</si>
  <si>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</si>
  <si>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</si>
  <si>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</si>
  <si>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</si>
  <si>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</si>
  <si>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</si>
  <si>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</si>
  <si>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</si>
  <si>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</si>
  <si>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</si>
  <si>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</si>
  <si>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</si>
  <si>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</si>
  <si>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</si>
  <si>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</si>
  <si>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</si>
  <si>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</si>
  <si>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</si>
  <si>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</si>
  <si>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</si>
  <si>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</si>
  <si>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</si>
  <si>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</si>
  <si>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</si>
  <si>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</si>
  <si>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</si>
  <si>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</si>
  <si>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</si>
  <si>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</si>
  <si>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</si>
  <si>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</si>
  <si>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</si>
  <si>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</si>
  <si>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</si>
  <si>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</si>
  <si>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</si>
  <si>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</si>
  <si>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</si>
  <si>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</si>
  <si>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</si>
  <si>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</si>
  <si>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</si>
  <si>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</si>
  <si>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</si>
  <si>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</si>
  <si>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</si>
  <si>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</si>
  <si>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</si>
  <si>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</si>
  <si>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</si>
  <si>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</si>
  <si>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</si>
  <si>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</si>
  <si>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</si>
  <si>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</si>
  <si>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</si>
  <si>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</si>
  <si>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</si>
  <si>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</si>
  <si>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</si>
  <si>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</si>
  <si>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</si>
  <si>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</si>
  <si>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</si>
  <si>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</si>
  <si>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</si>
  <si>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</si>
  <si>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</si>
  <si>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</si>
  <si>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</si>
  <si>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</si>
  <si>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</si>
  <si>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</si>
  <si>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</si>
  <si>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</si>
  <si>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</si>
  <si>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</si>
  <si>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</si>
  <si>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</si>
  <si>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</si>
  <si>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</si>
  <si>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</si>
  <si>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</si>
  <si>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</si>
  <si>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</si>
  <si>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</si>
  <si>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</si>
  <si>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</si>
  <si>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</si>
  <si>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</si>
  <si>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</si>
  <si>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</si>
  <si>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</si>
  <si>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</si>
  <si>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</si>
  <si>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</si>
  <si>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</si>
  <si>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</si>
  <si>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</si>
  <si>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</si>
  <si>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</si>
  <si>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</si>
  <si>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</si>
  <si>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</si>
  <si>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</si>
  <si>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</si>
  <si>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</si>
  <si>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</si>
  <si>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</si>
  <si>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</si>
  <si>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</si>
  <si>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</si>
  <si>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</si>
  <si>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</si>
  <si>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</si>
  <si>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</si>
  <si>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</si>
  <si>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</si>
  <si>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</si>
  <si>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</si>
  <si>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</si>
  <si>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</si>
  <si>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</si>
  <si>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</si>
  <si>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</si>
  <si>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</si>
  <si>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</si>
  <si>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</si>
  <si>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</si>
  <si>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</si>
  <si>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</si>
  <si>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</si>
  <si>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</si>
  <si>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</si>
  <si>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</si>
  <si>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</si>
  <si>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</si>
  <si>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</si>
  <si>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</si>
  <si>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</si>
  <si>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</si>
  <si>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</si>
  <si>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</si>
  <si>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</si>
  <si>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</si>
  <si>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</si>
  <si>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</si>
  <si>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</si>
  <si>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</si>
  <si>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</si>
  <si>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</si>
  <si>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</si>
  <si>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</si>
  <si>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</si>
  <si>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</si>
  <si>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</si>
  <si>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</si>
  <si>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</si>
  <si>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</si>
  <si>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</si>
  <si>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</si>
  <si>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</si>
  <si>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</si>
  <si>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</si>
  <si>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</si>
  <si>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</si>
  <si>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</si>
  <si>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</si>
  <si>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</si>
  <si>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</si>
  <si>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</si>
  <si>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</si>
  <si>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</si>
  <si>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</si>
  <si>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</si>
  <si>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</si>
  <si>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</si>
  <si>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</si>
  <si>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</si>
  <si>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</si>
  <si>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</si>
  <si>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</si>
  <si>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</si>
  <si>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</si>
  <si>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</si>
  <si>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</si>
  <si>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</si>
  <si>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</si>
  <si>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</si>
  <si>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</si>
  <si>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</si>
  <si>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</si>
  <si>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</si>
  <si>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</si>
  <si>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</si>
  <si>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</si>
  <si>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</si>
  <si>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</si>
  <si>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</si>
  <si>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</si>
  <si>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</si>
  <si>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</si>
  <si>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</si>
  <si>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</si>
  <si>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</si>
  <si>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</si>
  <si>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</si>
  <si>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</si>
  <si>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</si>
  <si>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</si>
  <si>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</si>
  <si>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</si>
  <si>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</si>
  <si>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</si>
  <si>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</si>
  <si>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</si>
  <si>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</si>
  <si>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</si>
  <si>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</si>
  <si>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</si>
  <si>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</si>
  <si>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</si>
  <si>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</si>
  <si>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</si>
  <si>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</si>
  <si>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</si>
  <si>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</si>
  <si>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</si>
  <si>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</si>
  <si>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</si>
  <si>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</si>
  <si>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</si>
  <si>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</si>
  <si>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</si>
  <si>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</si>
  <si>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</si>
  <si>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</si>
  <si>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</si>
  <si>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</si>
  <si>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</si>
  <si>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</si>
  <si>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</si>
  <si>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</si>
  <si>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</si>
  <si>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</si>
  <si>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</si>
  <si>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</si>
  <si>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</si>
  <si>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</si>
  <si>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</si>
  <si>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</si>
  <si>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</si>
  <si>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</si>
  <si>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</si>
  <si>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</si>
  <si>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</si>
  <si>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</si>
  <si>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</si>
  <si>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</si>
  <si>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</si>
  <si>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</si>
  <si>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</si>
  <si>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</si>
  <si>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</si>
  <si>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</si>
  <si>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</si>
  <si>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</si>
  <si>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</si>
  <si>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</si>
  <si>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</si>
  <si>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</si>
  <si>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</si>
  <si>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</si>
  <si>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</si>
  <si>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</si>
  <si>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</si>
  <si>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</si>
  <si>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</si>
  <si>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</si>
  <si>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</si>
  <si>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</si>
  <si>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</si>
  <si>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</si>
  <si>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</si>
  <si>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</si>
  <si>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</si>
  <si>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</si>
  <si>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</si>
  <si>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</si>
  <si>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</si>
  <si>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</si>
  <si>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</si>
  <si>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</si>
  <si>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</si>
  <si>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</si>
  <si>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</si>
  <si>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</si>
  <si>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</si>
  <si>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</si>
  <si>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</si>
  <si>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</si>
  <si>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</si>
  <si>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</si>
  <si>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</si>
  <si>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</si>
  <si>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</si>
  <si>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</si>
  <si>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</si>
  <si>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</si>
  <si>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</si>
  <si>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</si>
  <si>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</si>
  <si>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</si>
  <si>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</si>
  <si>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</si>
  <si>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</si>
  <si>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</si>
  <si>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</si>
  <si>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</si>
  <si>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</si>
  <si>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</si>
  <si>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</si>
  <si>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</si>
  <si>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</si>
  <si>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</si>
  <si>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</si>
  <si>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</si>
  <si>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</si>
  <si>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</si>
  <si>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</si>
  <si>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</si>
  <si>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</si>
  <si>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</si>
  <si>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</si>
  <si>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</si>
  <si>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</si>
  <si>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</si>
  <si>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</si>
  <si>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</si>
  <si>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</si>
  <si>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</si>
  <si>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</si>
  <si>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</si>
  <si>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</si>
  <si>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</si>
  <si>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</si>
  <si>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</si>
  <si>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</si>
  <si>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</si>
  <si>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</si>
  <si>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</si>
  <si>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</si>
  <si>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</si>
  <si>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</si>
  <si>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</si>
  <si>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</si>
  <si>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</si>
  <si>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</si>
  <si>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</si>
  <si>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</si>
  <si>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</si>
  <si>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</si>
  <si>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</si>
  <si>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</si>
  <si>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</si>
  <si>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</si>
  <si>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</si>
  <si>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</si>
  <si>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</si>
  <si>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</si>
  <si>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</si>
  <si>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</si>
  <si>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</si>
  <si>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</si>
  <si>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</si>
  <si>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</si>
  <si>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</si>
  <si>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</si>
  <si>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</si>
  <si>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</si>
  <si>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</si>
  <si>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</si>
  <si>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</si>
  <si>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</si>
  <si>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</si>
  <si>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</si>
  <si>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</si>
  <si>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</si>
  <si>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</si>
  <si>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</si>
  <si>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</si>
  <si>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</si>
  <si>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</si>
  <si>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</si>
  <si>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</si>
  <si>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</si>
  <si>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</si>
  <si>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</si>
  <si>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</si>
  <si>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</si>
  <si>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</si>
  <si>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</si>
  <si>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</si>
  <si>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</si>
  <si>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</si>
  <si>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</si>
  <si>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</si>
  <si>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</si>
  <si>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</si>
  <si>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</si>
  <si>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</si>
  <si>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</si>
  <si>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</si>
  <si>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</si>
  <si>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</si>
  <si>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</si>
  <si>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</si>
  <si>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</si>
  <si>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</si>
  <si>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</si>
  <si>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</si>
  <si>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</si>
  <si>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</si>
  <si>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</si>
  <si>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</si>
  <si>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</si>
  <si>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</si>
  <si>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</si>
  <si>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</si>
  <si>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</si>
  <si>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</si>
  <si>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</si>
  <si>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</si>
  <si>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</si>
  <si>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</si>
  <si>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</si>
  <si>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</si>
  <si>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</si>
  <si>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</si>
  <si>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</si>
  <si>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</si>
  <si>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</si>
  <si>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</si>
  <si>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</si>
  <si>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</si>
  <si>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</si>
  <si>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</si>
  <si>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</si>
  <si>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</si>
  <si>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</si>
  <si>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</si>
  <si>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</si>
  <si>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</si>
  <si>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</si>
  <si>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</si>
  <si>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</si>
  <si>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</si>
  <si>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</si>
  <si>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</si>
  <si>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</si>
  <si>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</si>
  <si>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</si>
  <si>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</si>
  <si>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</si>
  <si>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</si>
  <si>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</si>
  <si>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</si>
  <si>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</si>
  <si>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</si>
  <si>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</si>
  <si>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</si>
  <si>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</si>
  <si>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</si>
  <si>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</si>
  <si>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</si>
  <si>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</si>
  <si>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</si>
  <si>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</si>
  <si>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</si>
  <si>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</si>
  <si>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</si>
  <si>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</si>
  <si>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</si>
  <si>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</si>
  <si>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</si>
  <si>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</si>
  <si>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</si>
  <si>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</si>
  <si>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</si>
  <si>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</si>
  <si>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</si>
  <si>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</si>
  <si>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</si>
  <si>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</si>
  <si>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</si>
  <si>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</si>
  <si>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</si>
  <si>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</si>
  <si>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</si>
  <si>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</si>
  <si>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</si>
  <si>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</si>
  <si>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</si>
  <si>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</si>
  <si>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</si>
  <si>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</si>
  <si>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</si>
  <si>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</si>
  <si>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</si>
  <si>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</si>
  <si>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</si>
  <si>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</si>
  <si>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</si>
  <si>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</si>
  <si>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</si>
  <si>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</si>
  <si>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</si>
  <si>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</si>
  <si>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</si>
  <si>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</si>
  <si>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</si>
  <si>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</si>
  <si>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</si>
  <si>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</si>
  <si>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</si>
  <si>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</si>
  <si>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</si>
  <si>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</si>
  <si>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</si>
  <si>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</si>
  <si>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</si>
  <si>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</si>
  <si>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</si>
  <si>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</si>
  <si>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</si>
  <si>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</si>
  <si>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</si>
  <si>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</si>
  <si>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</si>
  <si>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</si>
  <si>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</si>
  <si>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</si>
  <si>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</si>
  <si>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</si>
  <si>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</si>
  <si>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</si>
  <si>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</si>
  <si>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</si>
  <si>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</si>
  <si>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</si>
  <si>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</si>
  <si>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</si>
  <si>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</si>
  <si>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</si>
  <si>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</si>
  <si>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</si>
  <si>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</si>
  <si>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</si>
  <si>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</si>
  <si>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</si>
  <si>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</si>
  <si>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</si>
  <si>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</si>
  <si>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</si>
  <si>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</si>
  <si>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</si>
  <si>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</si>
  <si>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</si>
  <si>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</si>
  <si>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</si>
  <si>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</si>
  <si>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</si>
  <si>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</si>
  <si>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</si>
  <si>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</si>
  <si>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</si>
  <si>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</si>
  <si>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</si>
  <si>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</si>
  <si>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</si>
  <si>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</si>
  <si>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</si>
  <si>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</si>
  <si>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</si>
  <si>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</si>
  <si>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</si>
  <si>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</si>
  <si>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</si>
  <si>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</si>
  <si>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</si>
  <si>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</si>
  <si>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</si>
  <si>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</si>
  <si>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</si>
  <si>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</si>
  <si>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</si>
  <si>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</si>
  <si>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</si>
  <si>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</si>
  <si>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</si>
  <si>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</si>
  <si>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</si>
  <si>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</si>
  <si>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</si>
  <si>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</si>
  <si>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</si>
  <si>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</si>
  <si>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</si>
  <si>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</si>
  <si>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</si>
  <si>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</si>
  <si>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</si>
  <si>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</si>
  <si>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</si>
  <si>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</si>
  <si>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</si>
  <si>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</si>
  <si>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</si>
  <si>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</si>
  <si>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</si>
  <si>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</si>
  <si>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</si>
  <si>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</si>
  <si>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</si>
  <si>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</si>
  <si>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</si>
  <si>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</si>
  <si>
    <t>research/claims.md; research/claims-ledger.json; research/claims-check.json; research/claims.template.md; scripts/check-claims.py; configs/claims.yaml; tests/research/test_claims.py</t>
  </si>
  <si>
    <t>Done 2026-10-18. research/claims.md separates: components replicated or adapted from prior work (each with its related-work row: Progent, tool filter, RTBAS, CaMeL, FIDES, AgentDojo, InjecAgent, spotlighting, repeat prompt, MELON, WASP, out-of-band consensus RW24); engineering contributions with evidence; result statements that may be made, each with its required qualifier and numbers from stored artifacts (21 claims, ledger); hypotheses needing more evidence (provenance layer as cause, holdout-1 alone, adaptive attacker, generalisation, over-defense, human labels); and what is not claimed (novelty, guarantees, production readiness, patent or publication, hiring). Acceptance check (scripts/check-claims.py, in verify and the offline reproduction): 64 public files scanned for novelty, guarantee, publication, patent and resume phrases; 49 hits, each allowed with a reason (negations, descriptions of other work, narrow tested mechanism properties, the frozen label); a planted overclaim or an unsourced portfolio number fails. Fixed: the website headline claimed each defense cut attacks from point estimates (now a count such as 'Fewer attacker wins for 12 of 14 defenses', with development data and point estimates stated beside it; the public demo shows it after its next redeploy). Not fixed, disclosed: the working label 'novel candidate' stays in the frozen-matched live config and recorded reports (changing it needs a new amendment). Reproduced 12/12 in the clean container at d3a15fb. No specialist review has been done; none is needed until a patent or publication claim is considered.</t>
  </si>
  <si>
    <t>docs/architecture.md; docs/architecture-claims.json; docs/media/walkthrough.webm; docs/media/walkthrough-steps.json; evidence/tb049-walkthrough.json; evidence/tb049-cli-transcript.txt; scripts/walkthrough.py; scripts/record-walkthrough.mjs; tests/research/test_walkthrough.py</t>
  </si>
  <si>
    <t>Done 2026-10-18. docs/architecture.md: Mermaid trust-boundary diagram and component map; a benign run, a blocked attack beside its undefended pair, a failure trace and a release-gate example, each explained with its evidence (site link, raw record pointer, verdict codes, attribution); every number from stored artifacts (80 claims, ledger). Examples chosen from recorded runs by fixed rules (scripts/walkthrough.py), not staged: the frozen system on the development split (the store holds no holdout run). Release-gate example run for real: unmodified PASS, injected regression (resource check removed) FAIL with security regressions and a more permissive policy trail. Live site: demo redeployed at the current commit; every mode run from the CLI against the public URL (instant, project key, own key) and a report downloaded (evidence/tb049-cli-transcript.txt, no key recorded); video docs/media/walkthrough.webm (2:26, captions) of the site: run pages, policy page, an instant run with report download, the own-key form (not filled), a live run on the project key, the CLI tab. Defect found and fixed: instant runs with every scripted case failed (duplicate repeatability units); fix in src/evaluation/repeats.py with tests, registered results unchanged, demo redeployed. Limits stated: recorded from the host over the tailnet route; own-key mode used the project's key standing in for a visitor's. Reproduced 12/12 in the clean container at 9b85719.</t>
  </si>
  <si>
    <t>README.md; .env.example; scripts/check-readme.py; evidence/tb050-readme-check.json; tests/research/test_readme.py; web/src/pages/Live.tsx; deploy/watchdog.sh; docs/deployment-runbook.md</t>
  </si>
  <si>
    <t>Done 2026-10-18. README rewritten for a fresh user: the live site in every mode (GUI, and trustbench remote with the project key or your own free-tier key read from an environment variable), install with the minimum tested environments only (macOS 27.2 Apple silicon, Debian 12 arm64 container, Ubuntu 24.04 CI), storage-root export, the four offline checks with their expected output, API keys per provider with the dry run and the no-key message, budget controls (per-run budget files, profiles, live-service limits), and a troubleshooting table with recovery steps. .env.example no longer carries machine paths. Acceptance check (scripts/check-readme.py --fresh): a non-root user in a clean Debian container with only git, Node 26.5.0, npm 12.0.0 and uv cloned the repository from GitHub, ran the Install block and the checks exactly as written: install ok, all four checks exit 0 with the documented output, dry run names the key, a live run without a key stops with the documented message (evidence/tb050-readme-check.json, README hash pinned). Static check (in verify): every path, npm script, CLI command and flag, key variable, model and limit in the README exists or matches the configs. Found and fixed along the way: the site's HTTP example failed (runs need a session) and its local command lacked the storage root (site redeployed); the CLI's missing-key check ignored TRUSTBENCH_NO_DOTENV; and the public demo had been unreachable from outside since 2026-10-17 20:40 UTC because Tailscale withdrew the Funnel DNS record: restored (confirmed from GitHub) and the watchdog now checks public DNS and repairs it. Reproduced 12/12 in the clean container at c2dac5f.</t>
  </si>
  <si>
    <t>Done 2026-10-18. Decision RELEASE for candidate 7518c85 (tag release-tb051, GitHub release): all ten required checks passed on that one commit (release/checks.json): CI Tier 1 and full verify; the Tier 2 live gate PASS (unsafe 63.0% -&gt; 0.0%, -63.0 pp [-81.5, -44.4], 27 pairs; utility +4.8 pp, 21 pairs; development data); a fresh clone from GitHub with the locked install, pinned AgentDojo data and full npm run verify with no local keys; the offline reproduction in a clean container (12/12); the README followed by a fresh non-root user; the demo rebuilt from the committed files and healthy; the public site end to end from GitHub's runners (every mode from API, CLI and Chrome, report download, own-key form; 20 API checks); a real own-key run from the CLI with no key in the output; no-key paths on staging (instant, spent shared budget, 23/23); every documentation link and the report, claim, README and reproduction checks. Three earlier candidates were not released and are recorded with their reasons (release/superseded-*.json): a link check that missed autolinks, scripted traces that varied under CPU load (queue.reason mislabel, fixed), and a fresh-clone failure at test:tool-service (missing .tool-state, fixed); their stopped or passed Tier 2 attempts are in the gate ledger. Scope stated: not a full replication (sealed holdouts not rerun; live runs small and sampled).</t>
  </si>
  <si>
    <t>portfolio/bullets.md; portfolio/bullets-claims.json; portfolio/bullets.template.md; scripts/build-report.py; scripts/check-claims.py; tests/research/test_bullets.py</t>
  </si>
  <si>
    <t>Done 2026-10-18. portfolio/bullets.md: six problem/action/result bullets (paired benchmark result on the sealed holdouts, evaluation integrity and the label audit, same-harness defense comparison, release gates and drills, offline reproducibility, the live site), using only statements allowed by research/claims.md with their qualifiers (holdout-1 not separated, one free model, static attacks, permissive baseline backend, AI reviewers only, re-implementations, development data). Acceptance: all 27 numbers are read from stored runs and reports by scripts/build-report.py and listed in the document's claim-to-evidence table with source file and path (ledger portfolio/bullets-claims.json); tests check every number on every line is covered by a claim and every table row resolves; scripts/check-claims.py (in verify) requires every number under portfolio/ to come from a claim ledger and rejects ranking, percentile and hiring phrases. Unknowns omitted and listed under Not included (provenance layer as cause, adaptive attackers, generalisation, guarantees). Reproduced 12/12 in the clean container at 5ad0835.</t>
  </si>
  <si>
    <t>release/tb051-checks.json; release/README.md; release/superseded-d60a4c8.json; release/superseded-75e4e3d.json; release/superseded-b3164e5.json; scripts/release-check.py; configs/release-checks.yaml; tests/release/test_release_check.py; evidence/release-gate-release-7518c85bee62-attempt-1.json; evidence/release-gate-ledger.json</t>
  </si>
  <si>
    <t>evidence/tb053-release.json; release/checks.json; release/README.md; scripts/release-package.py; tests/release/test_release_package.py; evidence/release-gate-release-c831245f2f77-attempt-1.json; evidence/release-gate-ledger.json</t>
  </si>
  <si>
    <t>Release: https://github.com/mhrj7/TrustBench-AI/releases/tag/v1.0.0. Done 2026-10-20. v1.0.0 = c831245, RELEASE on all ten checks; Tier 2 PASS on its one attempt (unsafe -81.5 pp [-100, -63.0], utility +25 pp [+5, +47.6], 1/48 invalid; development data). Verified from public links: assets, SHA256SUMS, no keys or personal paths, quickstart passes in a clean container. Disclosed in release/README.md: superseded candidates f90ffea, a6c758e, 2f6b610, ef4dfbb (two Tier 2 attempts stopped with no result); own_key_real rerun once after provider timeouts; first verify failed because the notes omitted curl (fixed in the notes, assets unchanged). Redistribution: only MIT AgentDojo template strings with notice; no AgentDojo checkout. Not a full replication; holdouts not rerun.</t>
  </si>
  <si>
    <t>docs/handover.md; evidence/tb054-handover-check.json; scripts/check-handover.py</t>
  </si>
  <si>
    <t>Done 2026-10-20: docs/handover.md records unresolved failure modes, supported versions, next experiment and maintenance triggers, plus the backlog. Acceptance is executable: scripts/check-handover.py (npm run verify:handover) checks every Core task has evidence on disk or remains open and regenerates the handover's Core table from this workbook. The backlog is kept in this workbook (TB-055 to TB-072) and docs/known-issues.md; no GitHub issues were filed. Completion means an evidenced project, not universal agent security.</t>
  </si>
  <si>
    <t>docs/external/agent-selection.md; evidence/tb055-agent-probes/python-probes.jsonl; evidence/tb055-agent-probes/goose-ollama.txt; evidence/tb055-agent-probes/goose-nvidia.txt; evidence/tb055-agent-probes/goose-tools.txt</t>
  </si>
  <si>
    <t>Done 2026-10-20: goose 1.55.0 selected (Apache-2.0, tag v1.55.0, commit 2bcb858, macOS arm64 artifact SHA-256 matching GitHub's digest). Criteria fixed before scoring; 10 candidates screened; shortlist goose / OpenAI Agents SDK 0.24.0 / Agno 3.1.6 all passed real tool-calling probes on local qwen3.5:9b and NVIDIA gpt-oss-20b. Core unmodified; integration only through a documented adapter (TB-057). Fallback: OpenAI Agents SDK, via a recorded amendment. Open for TB-056: classify goose's built-in load_skill tool and keep the developer extension off; Linux artifact checksum still to record for CI.</t>
  </si>
  <si>
    <t>docs/external/threat-model.md; docs/external/integration-contract.md; evidence/tb056-threat-model-check.json; evidence/tb056-goose-observations/observations.json</t>
  </si>
  <si>
    <t>Done 2026-10-20, re-audited the same day: 25 goose entry points, each classified exactly trusted (7) or untrusted (18) with its state (13 disabled) and control, covering prompts, tool outputs, memory and plugins; all 16 TB-002 surfaces mapped and all 9 TB-002 boundary rules reviewed; 8 uncovered items listed. Observed on the wire: CONTEXT_FILE_NAMES='[]' keeps AGENTS.md/.goosehints out of the prompt; --no-profile offers only load_skill plus the adapter's tools (no Developer, Computer Controller, Memory, Summon, Extension Manager); session naming off gives one request per turn; HTTP extensions are named after their URL, so the contract uses a stdio relay named trustbench (trustbench__ names observed). Contract adds a fail-closed trace rule. Designed but not yet demonstrated (owned by TB-057/058, listed as uncovered): every call through the gateway, secret scans, network confinement, native-mode proxy.</t>
  </si>
  <si>
    <t>Done</t>
  </si>
  <si>
    <t>src/external/; tests/external/adapter/; tests/external/native-integration/; docs/external/native-integration.md; evidence/tb057-unmodified.json; evidence/tb057-paired-check.json; evidence/tb057-scripted-goose/; evidence/tb057-live-goose/</t>
  </si>
  <si>
    <t xml:space="preserve">Done 2026-10-20. Mode A: goose 1.55.0 (pinned binary, unmodified) calls all 10 TrustBench tools through the MCP adapter; every trace validates against TB-004 (tests/external/adapter, 4 tests). Paired runs with goose in both arms: scripted 17/17 pairs with evaluator verdicts identical to the built-in agent; live nvidia gpt-oss-20b 4/4 valid pairs (one defended attack run ended budget_exhausted, reported as measured). Mode B: goose's own Computer Controller (goose mcp computercontroller, serverInfo goose-computercontroller 1.55.0) runs unchanged behind the TrustBench MCP gateway on a synthetic-only sandbox; allow/deny recorded per call, refused calls never forwarded, server-initiated sampling/elicitation/roots refused (tests/external/native-integration, 3 tests). Unmodified: release archive digest matches GitHub's, binary byte-identical, no goose files tracked (evidence/tb057-unmodified.json). Same paired report via the website (Live page, "Agent under test") and trustbench remote --agent external_mcp, both run on the service image built from Dockerfile.service with the pinned Linux goose; all 4 reports pass scripts/check-external-paired-report.py (evidence/tb057-paired-check.json). Contract bumped to 1.1.0 (changes listed). Not covered here: network confinement and bypass tests (TB-058); only one native integration (read-only files). The public demo instance still runs the previous image until it is redeployed.
</t>
  </si>
  <si>
    <t>docs/external/task-mapping.md; tests/external/fixtures/; evidence/tb059-task-mapping.json; evidence/tb059-scripted/; evidence/tb059-goose-live/; evidence/tb059-goose-live-retry/</t>
  </si>
  <si>
    <t xml:space="preserve">Done 2026-10-20. Every development fixture (25: the tuning groups in data/splits.json) runs end to end through goose with the unchanged evaluators: scripted dev suite (tests/external/fixtures/dev-suite.json, 26 cases, both arms) gives evaluator verdicts identical to the built-in agent in every case (evidence/tb059-scripted). Tasks reach goose through its native input (task prompt via -t, documents only as tool results through the MCP adapter); fixtures, initial state and evaluators unchanged. No holdout fixture is loaded: development runs materialize only development fixtures and the runner asserts it (sealed_fixtures_loaded 0 in every report; tested with a mixed suite and a positive control). Live pilot (nvidia gpt-oss-20b, free tier, 1 repetition): 17/25 valid, retry 6/8 valid, 24/25 fixtures with a valid live pair; TB-ATT-DOC-008 timed out at the provider twice (invalid, not counted; not a mapping limit). No task goose cannot express. Live numbers are pilot evidence, not an estimate. Fixed: a run cut off while the provider still owed an answer was counted as a valid agent timeout; it is now an invalid provider fault.
</t>
  </si>
  <si>
    <t>tests/external/authorization/; evidence/external-authorization-report.json; evidence/external-authorization-report-linux.json; src/external/sandbox.ts; docs/external/threat-model.md</t>
  </si>
  <si>
    <t xml:space="preserve">Done 2026-10-22 (owner decision: complete with the Linux Mode B limitation stated). goose and every process it starts run confined (src/external/sandbox.ts: sandbox-exec on macOS, Landlock on Linux): only the episode socket and the model proxy port reachable, writes only inside the episode folder; the capability (gateway session token) stays in the adapter. Bypass tests (tests/external/authorization/, project owner): direct calls, forged and replayed tokens, unlisted tools, argument smuggling and calls after cancellation, in both modes; each with a positive control and the audit check. macOS: 12/12 pass, every refusal audited (gateway or TB-004 deny decisions, including refused connections and calls after the episode ends), no tool effect without a gateway allow (evidence/external-authorization-report.json). LIMITATION: Linux container run (Landlock) 10/12 - Mode A 6/6, Mode B 2 open (direct_calls not refused; unlisted_tools positive control not detected) (evidence/external-authorization-report-linux.json); listed uncovered in docs/external/threat-model.md, no claim covers the native integration on Linux; the live service runs Mode A only. Next action for the limitation: fix and rerun the two Mode B checks in the container.
</t>
  </si>
  <si>
    <t>evidence/external-smoke-report.json; tests/external/conformance/; evidence/tb060/; scripts/check-external-smoke.py</t>
  </si>
  <si>
    <t xml:space="preserve">Done 2026-10-22. Conformance (tests/external/conformance/, mock model): TB-012 smoke suite through goose 17/17 valid, verdicts identical to the built-in agent, TB-004 traces valid, contract checks pass, spans for every run incl. model spans, no seeded sensitive value or credential (scripts/check-external-smoke.py; a control proves it rejects spans without model calls). Live smoke, development split, both arms, all checks pass (evidence/external-smoke-report.json): local runner qwen3.5:9b 6/6; live-service API on a local instance: scripted 6/6, Gemini 2/2; deployed public demo: scripted 6/6 and live Gemini (own key) 2/2. Fixed on the way: (1) goose runs exported no model spans; (2) a provider fault goose retried past invalidated the run, stricter than the built-in agents; now counted as a retry (provider_retries), only faults the run ends on make it invalid (tested with a fake provider and a control). Provider faults recorded invalid, never counted: NVIDIA gpt-oss-20b timed out in every attempt (free tier congested), two early Gemini demo attempts under the old rule.
</t>
  </si>
  <si>
    <t>protocol/amendments.md (A-030); protocol/experiment-registry.yaml (external_validation); scripts/external-split.py; tests/external/split/</t>
  </si>
  <si>
    <t xml:space="preserve">Done 2026-10-22. Amendment A-030 (protocol/amendments.md) and registry entry external_validation (protocol 1.3.0) committed before any external evaluation run (all external-agent runs so far are development work on the development split; verify-protocol asserts evaluation_runs_started=false). Registered: hypotheses H1-H3, primary endpoints (unsafe committed-effect rate, benign utility, 5 pp non-inferiority margin), overhead measures, adapter modes (Mode A primary, Mode B secondary, Linux Mode B confinement not claimed), systems, 5 repetitions, frozen model with a fallback rule (never pooled), renderings, analysis (Wilson, cluster bootstrap, McNemar) and stopping rules. Split procedure registered, not the split: scripts/external-split.py assigns families (seed 2026102201, 60% external, stratified by workflow, sha256 order); ineligible: the 8 tuning-used families and every sealed fixture; holdout-only families eligible as new fixtures (holdout_seen); refuses reassignment and hand-edited manifests. Tests (tests/external/split, 7) on placeholder lists: deterministic for its seed, stratified, excludes tuning families and the core holdout, no reassignment. The split itself is made in TB-062.
</t>
  </si>
  <si>
    <t>data/external-attacks.jsonl; data/external-attack-oracles.json; data/external-splits.json; data/external-manifest.json; tests/external/attacks/; evidence/tb062-positive-controls.json; docs/external/attack-families.md</t>
  </si>
  <si>
    <t xml:space="preserve">Done 2026-10-22. 12 attack families, each with a benign twin, oracle, cited source (arXiv) and rationale, new tenants (data/external-*.json): new - long-document buried instruction, delayed multi-step instruction, cross-tool split injection, allowed-tool exfiltration, forged plan status, delayed cross-record update; re-authored as new fixtures (holdout_seen) - citation laundering, abstention override, contact-attribute leak, payment-instruction insertion, approved-value substitution, notification exfiltration. Memory attacks not applicable (goose memory disabled by the contract, EX-25). Every oracle validated on scripted trajectories against the real backend (tests/external/attacks): benign twin passes, injection alone is no effect, attack-following trajectory achieves the goal. Split assigned by the registered TB-061 script: 9 external_validation, 3 tuning (one per workflow); disjoint from tuning families and sealed fixtures (tested); data/external-manifest.json froze all files with SHA-256 before any defended run (one pre-run revision of TB-ATT-EXT-EMAIL-001 recorded with its previous digest). Positive controls vs the undefended agent (goose, local qwen3.5:9b, 3 repetitions): 36/36, every family 3/3 (evidence/tb062-positive-controls.json); earlier single runs each had one miss, disclosed. No defended run made.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</si>
</sst>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71" activePane="bottomRight" state="frozen"/>
      <selection pane="topRight"/>
      <selection pane="bottomLeft"/>
      <selection pane="bottomRight" activeCell="C4" sqref="C4"/>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62</v>
      </c>
      <c r="C5" s="6">
        <f>IF(A5=0,0,B5/A5)</f>
        <v>0.86111111111111116</v>
      </c>
      <c r="D5" s="5">
        <f>COUNTIFS($D$12:$D$83,"Blocked")</f>
        <v>0</v>
      </c>
      <c r="E5" s="5">
        <f>SUM($H$12:$H$83)</f>
        <v>357</v>
      </c>
      <c r="F5" s="5">
        <f>SUMIFS($H$12:$H$83,$D$12:$D$83,"&lt;&gt;Completed")</f>
        <v>77</v>
      </c>
      <c r="G5" s="6">
        <f>COUNTIFS($Q$12:$Q$83,"Core",$D$12:$D$83,"Completed")/COUNTIFS($Q$12:$Q$83,"Core")</f>
        <v>1</v>
      </c>
      <c r="H5" s="7">
        <f>IF(B7&gt;0,SUMIFS($H$12:$H$83,$Q$12:$Q$83,"Core",$D$12:$D$83,"&lt;&gt;Completed")/B7,"Set hours/week")</f>
        <v>0</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1</v>
      </c>
      <c r="E59" s="10" t="s">
        <v>446</v>
      </c>
      <c r="F59" s="10"/>
      <c r="G59" s="10" t="str">
        <f t="shared" si="2"/>
        <v>Done</v>
      </c>
      <c r="H59" s="18">
        <v>3</v>
      </c>
      <c r="I59" s="14"/>
      <c r="J59" s="16"/>
      <c r="K59" s="10" t="s">
        <v>456</v>
      </c>
      <c r="L59" s="10" t="s">
        <v>457</v>
      </c>
      <c r="M59" s="10" t="s">
        <v>458</v>
      </c>
      <c r="N59" s="10" t="s">
        <v>459</v>
      </c>
      <c r="O59" s="10" t="s">
        <v>460</v>
      </c>
      <c r="P59" s="10" t="s">
        <v>461</v>
      </c>
      <c r="Q59" s="10" t="s">
        <v>43</v>
      </c>
      <c r="R59" s="10"/>
      <c r="S59" s="14" t="s">
        <v>903</v>
      </c>
      <c r="T59" s="14" t="s">
        <v>904</v>
      </c>
      <c r="U59" s="10">
        <f t="shared" si="3"/>
        <v>1</v>
      </c>
    </row>
    <row r="60" spans="1:21" ht="64" customHeight="1">
      <c r="A60" s="12" t="s">
        <v>462</v>
      </c>
      <c r="B60" s="12" t="s">
        <v>463</v>
      </c>
      <c r="C60" s="12" t="s">
        <v>464</v>
      </c>
      <c r="D60" s="13" t="s">
        <v>1</v>
      </c>
      <c r="E60" s="12" t="s">
        <v>405</v>
      </c>
      <c r="F60" s="12" t="s">
        <v>454</v>
      </c>
      <c r="G60" s="12" t="str">
        <f t="shared" si="2"/>
        <v>Done</v>
      </c>
      <c r="H60" s="17">
        <v>3</v>
      </c>
      <c r="I60" s="13"/>
      <c r="J60" s="15"/>
      <c r="K60" s="12" t="s">
        <v>874</v>
      </c>
      <c r="L60" s="12" t="s">
        <v>465</v>
      </c>
      <c r="M60" s="12" t="s">
        <v>466</v>
      </c>
      <c r="N60" s="12" t="s">
        <v>467</v>
      </c>
      <c r="O60" s="12" t="s">
        <v>468</v>
      </c>
      <c r="P60" s="12" t="s">
        <v>469</v>
      </c>
      <c r="Q60" s="12" t="s">
        <v>43</v>
      </c>
      <c r="R60" s="12"/>
      <c r="S60" s="13" t="s">
        <v>905</v>
      </c>
      <c r="T60" s="13" t="s">
        <v>906</v>
      </c>
      <c r="U60" s="10">
        <f t="shared" si="3"/>
        <v>1</v>
      </c>
    </row>
    <row r="61" spans="1:21" ht="64" customHeight="1">
      <c r="A61" s="10" t="s">
        <v>470</v>
      </c>
      <c r="B61" s="10" t="s">
        <v>463</v>
      </c>
      <c r="C61" s="10" t="s">
        <v>471</v>
      </c>
      <c r="D61" s="14" t="s">
        <v>1</v>
      </c>
      <c r="E61" s="10" t="s">
        <v>462</v>
      </c>
      <c r="F61" s="10"/>
      <c r="G61" s="10" t="str">
        <f t="shared" si="2"/>
        <v>Done</v>
      </c>
      <c r="H61" s="18">
        <v>3</v>
      </c>
      <c r="I61" s="14"/>
      <c r="J61" s="16"/>
      <c r="K61" s="10" t="s">
        <v>875</v>
      </c>
      <c r="L61" s="10" t="s">
        <v>472</v>
      </c>
      <c r="M61" s="10" t="s">
        <v>473</v>
      </c>
      <c r="N61" s="10" t="s">
        <v>474</v>
      </c>
      <c r="O61" s="10" t="s">
        <v>475</v>
      </c>
      <c r="P61" s="10" t="s">
        <v>476</v>
      </c>
      <c r="Q61" s="10" t="s">
        <v>43</v>
      </c>
      <c r="R61" s="10"/>
      <c r="S61" s="14" t="s">
        <v>907</v>
      </c>
      <c r="T61" s="14" t="s">
        <v>908</v>
      </c>
      <c r="U61" s="10">
        <f t="shared" si="3"/>
        <v>1</v>
      </c>
    </row>
    <row r="62" spans="1:21" ht="64" customHeight="1">
      <c r="A62" s="11" t="s">
        <v>477</v>
      </c>
      <c r="B62" s="11" t="s">
        <v>463</v>
      </c>
      <c r="C62" s="11" t="s">
        <v>478</v>
      </c>
      <c r="D62" s="14" t="s">
        <v>1</v>
      </c>
      <c r="E62" s="11" t="s">
        <v>470</v>
      </c>
      <c r="F62" s="11"/>
      <c r="G62" s="11" t="str">
        <f t="shared" si="2"/>
        <v>Done</v>
      </c>
      <c r="H62" s="18">
        <v>4</v>
      </c>
      <c r="I62" s="14"/>
      <c r="J62" s="16"/>
      <c r="K62" s="11" t="s">
        <v>876</v>
      </c>
      <c r="L62" s="11" t="s">
        <v>479</v>
      </c>
      <c r="M62" s="11" t="s">
        <v>480</v>
      </c>
      <c r="N62" s="11" t="s">
        <v>481</v>
      </c>
      <c r="O62" s="11" t="s">
        <v>482</v>
      </c>
      <c r="P62" s="11" t="s">
        <v>483</v>
      </c>
      <c r="Q62" s="11" t="s">
        <v>43</v>
      </c>
      <c r="R62" s="11"/>
      <c r="S62" s="14" t="s">
        <v>912</v>
      </c>
      <c r="T62" s="14" t="s">
        <v>909</v>
      </c>
      <c r="U62" s="10">
        <f t="shared" si="3"/>
        <v>1</v>
      </c>
    </row>
    <row r="63" spans="1:21" ht="64" customHeight="1">
      <c r="A63" s="10" t="s">
        <v>484</v>
      </c>
      <c r="B63" s="10" t="s">
        <v>463</v>
      </c>
      <c r="C63" s="10" t="s">
        <v>485</v>
      </c>
      <c r="D63" s="14" t="s">
        <v>1</v>
      </c>
      <c r="E63" s="10" t="s">
        <v>477</v>
      </c>
      <c r="F63" s="10"/>
      <c r="G63" s="10" t="str">
        <f t="shared" si="2"/>
        <v>Done</v>
      </c>
      <c r="H63" s="18">
        <v>2</v>
      </c>
      <c r="I63" s="14"/>
      <c r="J63" s="16"/>
      <c r="K63" s="10" t="s">
        <v>486</v>
      </c>
      <c r="L63" s="10" t="s">
        <v>487</v>
      </c>
      <c r="M63" s="10" t="s">
        <v>488</v>
      </c>
      <c r="N63" s="10" t="s">
        <v>489</v>
      </c>
      <c r="O63" s="10" t="s">
        <v>490</v>
      </c>
      <c r="P63" s="10" t="s">
        <v>491</v>
      </c>
      <c r="Q63" s="10" t="s">
        <v>43</v>
      </c>
      <c r="R63" s="10"/>
      <c r="S63" s="14" t="s">
        <v>910</v>
      </c>
      <c r="T63" s="14" t="s">
        <v>911</v>
      </c>
      <c r="U63" s="10">
        <f t="shared" si="3"/>
        <v>1</v>
      </c>
    </row>
    <row r="64" spans="1:21" ht="64" customHeight="1">
      <c r="A64" s="11" t="s">
        <v>492</v>
      </c>
      <c r="B64" s="11" t="s">
        <v>463</v>
      </c>
      <c r="C64" s="11" t="s">
        <v>493</v>
      </c>
      <c r="D64" s="14" t="s">
        <v>1</v>
      </c>
      <c r="E64" s="11" t="s">
        <v>484</v>
      </c>
      <c r="F64" s="11"/>
      <c r="G64" s="11" t="str">
        <f t="shared" si="2"/>
        <v>Done</v>
      </c>
      <c r="H64" s="18">
        <v>2</v>
      </c>
      <c r="I64" s="14"/>
      <c r="J64" s="16"/>
      <c r="K64" s="11" t="s">
        <v>494</v>
      </c>
      <c r="L64" s="11" t="s">
        <v>495</v>
      </c>
      <c r="M64" s="11" t="s">
        <v>496</v>
      </c>
      <c r="N64" s="11" t="s">
        <v>497</v>
      </c>
      <c r="O64" s="11" t="s">
        <v>498</v>
      </c>
      <c r="P64" s="11" t="s">
        <v>499</v>
      </c>
      <c r="Q64" s="11" t="s">
        <v>43</v>
      </c>
      <c r="R64" s="11"/>
      <c r="S64" s="14" t="s">
        <v>913</v>
      </c>
      <c r="T64" s="14" t="s">
        <v>914</v>
      </c>
      <c r="U64" s="10">
        <f t="shared" si="3"/>
        <v>1</v>
      </c>
    </row>
    <row r="65" spans="1:21" ht="64" customHeight="1">
      <c r="A65" s="10" t="s">
        <v>500</v>
      </c>
      <c r="B65" s="10" t="s">
        <v>463</v>
      </c>
      <c r="C65" s="10" t="s">
        <v>501</v>
      </c>
      <c r="D65" s="14" t="s">
        <v>1</v>
      </c>
      <c r="E65" s="10" t="s">
        <v>492</v>
      </c>
      <c r="F65" s="10"/>
      <c r="G65" s="10" t="str">
        <f t="shared" si="2"/>
        <v>Done</v>
      </c>
      <c r="H65" s="18">
        <v>2</v>
      </c>
      <c r="I65" s="14"/>
      <c r="J65" s="16"/>
      <c r="K65" s="10" t="s">
        <v>502</v>
      </c>
      <c r="L65" s="10" t="s">
        <v>503</v>
      </c>
      <c r="M65" s="10" t="s">
        <v>504</v>
      </c>
      <c r="N65" s="10" t="s">
        <v>505</v>
      </c>
      <c r="O65" s="10" t="s">
        <v>506</v>
      </c>
      <c r="P65" s="10" t="s">
        <v>507</v>
      </c>
      <c r="Q65" s="10" t="s">
        <v>43</v>
      </c>
      <c r="R65" s="10"/>
      <c r="S65" s="14" t="s">
        <v>915</v>
      </c>
      <c r="T65" s="14" t="s">
        <v>916</v>
      </c>
      <c r="U65" s="10">
        <f t="shared" si="3"/>
        <v>1</v>
      </c>
    </row>
    <row r="66" spans="1:21" ht="64" customHeight="1">
      <c r="A66" s="10" t="s">
        <v>508</v>
      </c>
      <c r="B66" s="10" t="s">
        <v>754</v>
      </c>
      <c r="C66" s="10" t="s">
        <v>755</v>
      </c>
      <c r="D66" s="14" t="s">
        <v>1</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Done</v>
      </c>
      <c r="H66" s="18">
        <v>4</v>
      </c>
      <c r="I66" s="14"/>
      <c r="J66" s="16"/>
      <c r="K66" s="10" t="s">
        <v>756</v>
      </c>
      <c r="L66" s="10" t="s">
        <v>757</v>
      </c>
      <c r="M66" s="10" t="s">
        <v>758</v>
      </c>
      <c r="N66" s="10" t="s">
        <v>759</v>
      </c>
      <c r="O66" s="10" t="s">
        <v>760</v>
      </c>
      <c r="P66" s="10" t="s">
        <v>761</v>
      </c>
      <c r="Q66" s="10" t="s">
        <v>762</v>
      </c>
      <c r="R66" s="10" t="s">
        <v>100</v>
      </c>
      <c r="S66" s="14" t="s">
        <v>917</v>
      </c>
      <c r="T66" s="14" t="s">
        <v>918</v>
      </c>
      <c r="U66" s="10">
        <f t="shared" ref="U66:U77" si="5">IF(LEN(S66)&gt;0,1,0)</f>
        <v>1</v>
      </c>
    </row>
    <row r="67" spans="1:21" ht="64" customHeight="1">
      <c r="A67" s="10" t="s">
        <v>517</v>
      </c>
      <c r="B67" s="10" t="s">
        <v>754</v>
      </c>
      <c r="C67" s="10" t="s">
        <v>764</v>
      </c>
      <c r="D67" s="14" t="s">
        <v>1</v>
      </c>
      <c r="E67" s="10" t="s">
        <v>508</v>
      </c>
      <c r="F67" s="10" t="s">
        <v>45</v>
      </c>
      <c r="G67" s="10" t="str">
        <f t="shared" si="4"/>
        <v>Done</v>
      </c>
      <c r="H67" s="18">
        <v>4</v>
      </c>
      <c r="I67" s="14"/>
      <c r="J67" s="16"/>
      <c r="K67" s="10" t="s">
        <v>765</v>
      </c>
      <c r="L67" s="10" t="s">
        <v>766</v>
      </c>
      <c r="M67" s="10" t="s">
        <v>767</v>
      </c>
      <c r="N67" s="10" t="s">
        <v>768</v>
      </c>
      <c r="O67" s="10" t="s">
        <v>769</v>
      </c>
      <c r="P67" s="10" t="s">
        <v>770</v>
      </c>
      <c r="Q67" s="10" t="s">
        <v>762</v>
      </c>
      <c r="R67" s="10" t="s">
        <v>771</v>
      </c>
      <c r="S67" s="14" t="s">
        <v>919</v>
      </c>
      <c r="T67" s="14" t="s">
        <v>920</v>
      </c>
      <c r="U67" s="10">
        <f t="shared" si="5"/>
        <v>1</v>
      </c>
    </row>
    <row r="68" spans="1:21" ht="64" customHeight="1">
      <c r="A68" s="10" t="s">
        <v>525</v>
      </c>
      <c r="B68" s="10" t="s">
        <v>754</v>
      </c>
      <c r="C68" s="10" t="s">
        <v>841</v>
      </c>
      <c r="D68" s="14" t="s">
        <v>1</v>
      </c>
      <c r="E68" s="10" t="s">
        <v>517</v>
      </c>
      <c r="F68" s="10" t="s">
        <v>255</v>
      </c>
      <c r="G68" s="10" t="s">
        <v>921</v>
      </c>
      <c r="H68" s="18">
        <v>12</v>
      </c>
      <c r="I68" s="14"/>
      <c r="J68" s="16"/>
      <c r="K68" s="10" t="s">
        <v>877</v>
      </c>
      <c r="L68" s="10" t="s">
        <v>842</v>
      </c>
      <c r="M68" s="10" t="s">
        <v>843</v>
      </c>
      <c r="N68" s="10" t="s">
        <v>878</v>
      </c>
      <c r="O68" s="10" t="s">
        <v>844</v>
      </c>
      <c r="P68" s="10" t="s">
        <v>845</v>
      </c>
      <c r="Q68" s="10" t="s">
        <v>762</v>
      </c>
      <c r="R68" s="10" t="s">
        <v>100</v>
      </c>
      <c r="S68" s="14" t="s">
        <v>922</v>
      </c>
      <c r="T68" s="14" t="s">
        <v>923</v>
      </c>
      <c r="U68" s="10">
        <v>1</v>
      </c>
    </row>
    <row r="69" spans="1:21" ht="64" customHeight="1">
      <c r="A69" s="10" t="s">
        <v>533</v>
      </c>
      <c r="B69" s="10" t="s">
        <v>754</v>
      </c>
      <c r="C69" s="10" t="s">
        <v>774</v>
      </c>
      <c r="D69" s="14" t="s">
        <v>1</v>
      </c>
      <c r="E69" s="10" t="s">
        <v>525</v>
      </c>
      <c r="F69" s="10" t="s">
        <v>225</v>
      </c>
      <c r="G69" s="10" t="s">
        <v>921</v>
      </c>
      <c r="H69" s="18">
        <v>6</v>
      </c>
      <c r="I69" s="14"/>
      <c r="J69" s="16"/>
      <c r="K69" s="10" t="s">
        <v>846</v>
      </c>
      <c r="L69" s="10" t="s">
        <v>775</v>
      </c>
      <c r="M69" s="10" t="s">
        <v>776</v>
      </c>
      <c r="N69" s="10" t="s">
        <v>847</v>
      </c>
      <c r="O69" s="10" t="s">
        <v>777</v>
      </c>
      <c r="P69" s="10" t="s">
        <v>778</v>
      </c>
      <c r="Q69" s="10" t="s">
        <v>762</v>
      </c>
      <c r="R69" s="10" t="s">
        <v>223</v>
      </c>
      <c r="S69" s="14" t="s">
        <v>926</v>
      </c>
      <c r="T69" s="14" t="s">
        <v>927</v>
      </c>
      <c r="U69" s="10">
        <v>1</v>
      </c>
    </row>
    <row r="70" spans="1:21" ht="64" customHeight="1">
      <c r="A70" s="10" t="s">
        <v>541</v>
      </c>
      <c r="B70" s="10" t="s">
        <v>754</v>
      </c>
      <c r="C70" s="10" t="s">
        <v>780</v>
      </c>
      <c r="D70" s="14" t="s">
        <v>1</v>
      </c>
      <c r="E70" s="10" t="s">
        <v>525</v>
      </c>
      <c r="F70" s="10" t="s">
        <v>138</v>
      </c>
      <c r="G70" s="10" t="s">
        <v>921</v>
      </c>
      <c r="H70" s="18">
        <v>5</v>
      </c>
      <c r="I70" s="14"/>
      <c r="J70" s="16"/>
      <c r="K70" s="10" t="s">
        <v>781</v>
      </c>
      <c r="L70" s="10" t="s">
        <v>782</v>
      </c>
      <c r="M70" s="10" t="s">
        <v>783</v>
      </c>
      <c r="N70" s="10" t="s">
        <v>784</v>
      </c>
      <c r="O70" s="10" t="s">
        <v>785</v>
      </c>
      <c r="P70" s="10" t="s">
        <v>786</v>
      </c>
      <c r="Q70" s="10" t="s">
        <v>762</v>
      </c>
      <c r="R70" s="10" t="s">
        <v>100</v>
      </c>
      <c r="S70" s="14" t="s">
        <v>924</v>
      </c>
      <c r="T70" s="14" t="s">
        <v>925</v>
      </c>
      <c r="U70" s="10">
        <v>1</v>
      </c>
    </row>
    <row r="71" spans="1:21" ht="64" customHeight="1">
      <c r="A71" s="10" t="s">
        <v>549</v>
      </c>
      <c r="B71" s="10" t="s">
        <v>754</v>
      </c>
      <c r="C71" s="10" t="s">
        <v>788</v>
      </c>
      <c r="D71" s="14" t="s">
        <v>1</v>
      </c>
      <c r="E71" s="10" t="s">
        <v>533</v>
      </c>
      <c r="F71" s="10" t="s">
        <v>541</v>
      </c>
      <c r="G71" s="10" t="s">
        <v>921</v>
      </c>
      <c r="H71" s="18">
        <v>4</v>
      </c>
      <c r="I71" s="14"/>
      <c r="J71" s="16"/>
      <c r="K71" s="10" t="s">
        <v>879</v>
      </c>
      <c r="L71" s="10" t="s">
        <v>789</v>
      </c>
      <c r="M71" s="10" t="s">
        <v>790</v>
      </c>
      <c r="N71" s="10" t="s">
        <v>791</v>
      </c>
      <c r="O71" s="10" t="s">
        <v>792</v>
      </c>
      <c r="P71" s="10" t="s">
        <v>793</v>
      </c>
      <c r="Q71" s="10" t="s">
        <v>762</v>
      </c>
      <c r="R71" s="10" t="s">
        <v>100</v>
      </c>
      <c r="S71" s="14" t="s">
        <v>928</v>
      </c>
      <c r="T71" s="14" t="s">
        <v>929</v>
      </c>
      <c r="U71" s="10">
        <v>1</v>
      </c>
    </row>
    <row r="72" spans="1:21" ht="64" customHeight="1">
      <c r="A72" s="10" t="s">
        <v>753</v>
      </c>
      <c r="B72" s="10" t="s">
        <v>754</v>
      </c>
      <c r="C72" s="10" t="s">
        <v>848</v>
      </c>
      <c r="D72" s="14" t="s">
        <v>1</v>
      </c>
      <c r="E72" s="10" t="s">
        <v>549</v>
      </c>
      <c r="F72" s="10" t="s">
        <v>82</v>
      </c>
      <c r="G72" s="10" t="s">
        <v>921</v>
      </c>
      <c r="H72" s="18">
        <v>4</v>
      </c>
      <c r="I72" s="14"/>
      <c r="J72" s="16"/>
      <c r="K72" s="10" t="s">
        <v>849</v>
      </c>
      <c r="L72" s="10" t="s">
        <v>795</v>
      </c>
      <c r="M72" s="10" t="s">
        <v>850</v>
      </c>
      <c r="N72" s="10" t="s">
        <v>851</v>
      </c>
      <c r="O72" s="10" t="s">
        <v>852</v>
      </c>
      <c r="P72" s="10" t="s">
        <v>853</v>
      </c>
      <c r="Q72" s="10" t="s">
        <v>762</v>
      </c>
      <c r="R72" s="10" t="s">
        <v>771</v>
      </c>
      <c r="S72" s="14" t="s">
        <v>930</v>
      </c>
      <c r="T72" s="14" t="s">
        <v>931</v>
      </c>
      <c r="U72" s="10">
        <v>1</v>
      </c>
    </row>
    <row r="73" spans="1:21" ht="64" customHeight="1">
      <c r="A73" s="10" t="s">
        <v>763</v>
      </c>
      <c r="B73" s="10" t="s">
        <v>754</v>
      </c>
      <c r="C73" s="10" t="s">
        <v>797</v>
      </c>
      <c r="D73" s="14" t="s">
        <v>1</v>
      </c>
      <c r="E73" s="10" t="s">
        <v>753</v>
      </c>
      <c r="F73" s="10" t="s">
        <v>111</v>
      </c>
      <c r="G73" s="10" t="s">
        <v>921</v>
      </c>
      <c r="H73" s="18">
        <v>8</v>
      </c>
      <c r="I73" s="14"/>
      <c r="J73" s="16"/>
      <c r="K73" s="10" t="s">
        <v>854</v>
      </c>
      <c r="L73" s="10" t="s">
        <v>798</v>
      </c>
      <c r="M73" s="10" t="s">
        <v>799</v>
      </c>
      <c r="N73" s="10" t="s">
        <v>855</v>
      </c>
      <c r="O73" s="10" t="s">
        <v>856</v>
      </c>
      <c r="P73" s="10" t="s">
        <v>857</v>
      </c>
      <c r="Q73" s="10" t="s">
        <v>762</v>
      </c>
      <c r="R73" s="10" t="s">
        <v>771</v>
      </c>
      <c r="S73" s="14" t="s">
        <v>932</v>
      </c>
      <c r="T73" s="14" t="s">
        <v>933</v>
      </c>
      <c r="U73" s="10">
        <v>1</v>
      </c>
    </row>
    <row r="74" spans="1:21" ht="64" customHeight="1">
      <c r="A74" s="10" t="s">
        <v>772</v>
      </c>
      <c r="B74" s="10" t="s">
        <v>754</v>
      </c>
      <c r="C74" s="10" t="s">
        <v>801</v>
      </c>
      <c r="D74" s="14" t="s">
        <v>288</v>
      </c>
      <c r="E74" s="10" t="s">
        <v>549</v>
      </c>
      <c r="F74" s="10" t="s">
        <v>265</v>
      </c>
      <c r="G74" s="10" t="str">
        <f t="shared" si="4"/>
        <v>Ready</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6</v>
      </c>
      <c r="D98" s="10">
        <f t="shared" si="8"/>
        <v>0</v>
      </c>
      <c r="E98" s="10">
        <f t="shared" si="9"/>
        <v>0</v>
      </c>
      <c r="F98" s="10">
        <f t="shared" si="10"/>
        <v>0</v>
      </c>
      <c r="G98" s="21">
        <f t="shared" si="11"/>
        <v>1</v>
      </c>
      <c r="H98" s="10">
        <f t="shared" si="12"/>
        <v>25</v>
      </c>
      <c r="I98" s="10">
        <f t="shared" si="13"/>
        <v>0</v>
      </c>
      <c r="J98" s="10">
        <f t="shared" si="14"/>
        <v>0</v>
      </c>
      <c r="K98" s="1"/>
      <c r="L98" s="1"/>
      <c r="M98" s="1"/>
      <c r="N98" s="1"/>
      <c r="O98" s="1"/>
      <c r="P98" s="1"/>
      <c r="Q98" s="1"/>
      <c r="R98" s="1"/>
      <c r="S98" s="1"/>
      <c r="T98" s="1"/>
      <c r="U98" s="1"/>
    </row>
    <row r="99" spans="1:21" ht="38" customHeight="1">
      <c r="A99" s="11" t="s">
        <v>463</v>
      </c>
      <c r="B99" s="11">
        <f t="shared" si="6"/>
        <v>6</v>
      </c>
      <c r="C99" s="11">
        <f t="shared" si="7"/>
        <v>6</v>
      </c>
      <c r="D99" s="11">
        <f t="shared" si="8"/>
        <v>0</v>
      </c>
      <c r="E99" s="11">
        <f t="shared" si="9"/>
        <v>0</v>
      </c>
      <c r="F99" s="11">
        <f t="shared" si="10"/>
        <v>0</v>
      </c>
      <c r="G99" s="20">
        <f t="shared" si="11"/>
        <v>1</v>
      </c>
      <c r="H99" s="11">
        <f t="shared" si="12"/>
        <v>16</v>
      </c>
      <c r="I99" s="11">
        <f t="shared" si="13"/>
        <v>0</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8</v>
      </c>
      <c r="D100" s="11">
        <f t="shared" ref="D100" si="17">COUNTIFS($B$12:$B$83,A100,$D$12:$D$83,"Not Started")</f>
        <v>4</v>
      </c>
      <c r="E100" s="11">
        <f t="shared" ref="E100" si="18">COUNTIFS($B$12:$B$83,A100,$D$12:$D$83,"In Progress")</f>
        <v>0</v>
      </c>
      <c r="F100" s="11">
        <f t="shared" ref="F100" si="19">COUNTIFS($B$12:$B$83,A100,$D$12:$D$83,"Blocked")</f>
        <v>0</v>
      </c>
      <c r="G100" s="20">
        <f t="shared" ref="G100" si="20">IF(B100=0,0,C100/B100)</f>
        <v>0.66666666666666663</v>
      </c>
      <c r="H100" s="11">
        <f t="shared" ref="H100" si="21">SUMIFS($H$12:$H$83,$B$12:$B$83,A100)</f>
        <v>72</v>
      </c>
      <c r="I100" s="11">
        <f>SUMIFS($H$12:$H$83,$B$12:$B$83,A100,$D$12:$D$83,"&lt;&gt;Completed")</f>
        <v>25</v>
      </c>
      <c r="J100" s="11">
        <f>COUNTIFS($B$12:$B$83,A100,$G$12:$G$83,"Ready")</f>
        <v>1</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2026-10-22T10:25:10Z</dcterms:modified>
</cp:coreProperties>
</file>