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Volumes/MHRJ/TrustBench-AI/planning/"/>
    </mc:Choice>
  </mc:AlternateContent>
  <xr:revisionPtr revIDLastSave="0" documentId="13_ncr:1_{7747DF41-5CED-3043-97DF-E4181885A398}" xr6:coauthVersionLast="47" xr6:coauthVersionMax="47" xr10:uidLastSave="{00000000-0000-0000-0000-000000000000}"/>
  <bookViews>
    <workbookView xWindow="0" yWindow="600" windowWidth="51200" windowHeight="26660" xr2:uid="{00000000-000D-0000-FFFF-FFFF00000000}"/>
  </bookViews>
  <sheets>
    <sheet name="TrustBench-A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7" i="1" l="1"/>
  <c r="G136" i="1"/>
  <c r="G135" i="1"/>
  <c r="G134" i="1"/>
  <c r="G133" i="1"/>
  <c r="G132" i="1"/>
  <c r="G131" i="1"/>
  <c r="I88" i="1"/>
  <c r="H88" i="1"/>
  <c r="F88" i="1"/>
  <c r="E88" i="1"/>
  <c r="D88" i="1"/>
  <c r="C88" i="1"/>
  <c r="B88" i="1"/>
  <c r="I87" i="1"/>
  <c r="H87" i="1"/>
  <c r="F87" i="1"/>
  <c r="E87" i="1"/>
  <c r="D87" i="1"/>
  <c r="C87" i="1"/>
  <c r="B87" i="1"/>
  <c r="I86" i="1"/>
  <c r="H86" i="1"/>
  <c r="F86" i="1"/>
  <c r="E86" i="1"/>
  <c r="D86" i="1"/>
  <c r="C86" i="1"/>
  <c r="B86" i="1"/>
  <c r="I85" i="1"/>
  <c r="H85" i="1"/>
  <c r="F85" i="1"/>
  <c r="E85" i="1"/>
  <c r="D85" i="1"/>
  <c r="C85" i="1"/>
  <c r="B85" i="1"/>
  <c r="I84" i="1"/>
  <c r="H84" i="1"/>
  <c r="F84" i="1"/>
  <c r="E84" i="1"/>
  <c r="D84" i="1"/>
  <c r="C84" i="1"/>
  <c r="B84" i="1"/>
  <c r="I83" i="1"/>
  <c r="H83" i="1"/>
  <c r="F83" i="1"/>
  <c r="E83" i="1"/>
  <c r="D83" i="1"/>
  <c r="C83" i="1"/>
  <c r="B83" i="1"/>
  <c r="I82" i="1"/>
  <c r="H82" i="1"/>
  <c r="F82" i="1"/>
  <c r="E82" i="1"/>
  <c r="D82" i="1"/>
  <c r="C82" i="1"/>
  <c r="B82" i="1"/>
  <c r="I81" i="1"/>
  <c r="H81" i="1"/>
  <c r="F81" i="1"/>
  <c r="E81" i="1"/>
  <c r="D81" i="1"/>
  <c r="C81" i="1"/>
  <c r="B81" i="1"/>
  <c r="I80" i="1"/>
  <c r="H80" i="1"/>
  <c r="F80" i="1"/>
  <c r="E80" i="1"/>
  <c r="D80" i="1"/>
  <c r="C80" i="1"/>
  <c r="B80" i="1"/>
  <c r="I79" i="1"/>
  <c r="H79" i="1"/>
  <c r="F79" i="1"/>
  <c r="E79" i="1"/>
  <c r="D79" i="1"/>
  <c r="C79" i="1"/>
  <c r="B79" i="1"/>
  <c r="U71" i="1"/>
  <c r="G71" i="1"/>
  <c r="U70" i="1"/>
  <c r="G70" i="1"/>
  <c r="U69" i="1"/>
  <c r="G69" i="1"/>
  <c r="U68" i="1"/>
  <c r="G68" i="1"/>
  <c r="U67" i="1"/>
  <c r="G67" i="1"/>
  <c r="U66" i="1"/>
  <c r="G66" i="1"/>
  <c r="U65" i="1"/>
  <c r="G65" i="1"/>
  <c r="U64" i="1"/>
  <c r="G64" i="1"/>
  <c r="U63" i="1"/>
  <c r="G63" i="1"/>
  <c r="U62" i="1"/>
  <c r="G62" i="1"/>
  <c r="U61" i="1"/>
  <c r="G61" i="1"/>
  <c r="U60" i="1"/>
  <c r="G60" i="1"/>
  <c r="U59" i="1"/>
  <c r="G59" i="1"/>
  <c r="U58" i="1"/>
  <c r="G58" i="1"/>
  <c r="U57" i="1"/>
  <c r="G57" i="1"/>
  <c r="U56" i="1"/>
  <c r="G56" i="1"/>
  <c r="U55" i="1"/>
  <c r="G55" i="1"/>
  <c r="U54" i="1"/>
  <c r="G54" i="1"/>
  <c r="U53" i="1"/>
  <c r="G53" i="1"/>
  <c r="U52" i="1"/>
  <c r="G52" i="1"/>
  <c r="U51" i="1"/>
  <c r="G51" i="1"/>
  <c r="U50" i="1"/>
  <c r="G50" i="1"/>
  <c r="U49" i="1"/>
  <c r="G49" i="1"/>
  <c r="U48" i="1"/>
  <c r="G48" i="1"/>
  <c r="U47" i="1"/>
  <c r="G47" i="1"/>
  <c r="U46" i="1"/>
  <c r="G46" i="1"/>
  <c r="U45" i="1"/>
  <c r="G45" i="1"/>
  <c r="U44" i="1"/>
  <c r="G44" i="1"/>
  <c r="U43" i="1"/>
  <c r="U42" i="1"/>
  <c r="U41" i="1"/>
  <c r="U40" i="1"/>
  <c r="G41" i="1" s="1"/>
  <c r="U39" i="1"/>
  <c r="G40" i="1" s="1"/>
  <c r="U38" i="1"/>
  <c r="G39" i="1" s="1"/>
  <c r="U37" i="1"/>
  <c r="G38" i="1" s="1"/>
  <c r="U36" i="1"/>
  <c r="G37" i="1" s="1"/>
  <c r="U35" i="1"/>
  <c r="U34" i="1"/>
  <c r="U33" i="1"/>
  <c r="G34" i="1" s="1"/>
  <c r="U32" i="1"/>
  <c r="G33" i="1" s="1"/>
  <c r="U31" i="1"/>
  <c r="G32" i="1" s="1"/>
  <c r="U30" i="1"/>
  <c r="G31" i="1" s="1"/>
  <c r="U29" i="1"/>
  <c r="G30" i="1" s="1"/>
  <c r="U28" i="1"/>
  <c r="G29" i="1" s="1"/>
  <c r="U27" i="1"/>
  <c r="U26" i="1"/>
  <c r="G27" i="1" s="1"/>
  <c r="U25" i="1"/>
  <c r="G26" i="1" s="1"/>
  <c r="U24" i="1"/>
  <c r="G25" i="1" s="1"/>
  <c r="U23" i="1"/>
  <c r="G24" i="1" s="1"/>
  <c r="U22" i="1"/>
  <c r="G23" i="1" s="1"/>
  <c r="U21" i="1"/>
  <c r="G43" i="1" s="1"/>
  <c r="U20" i="1"/>
  <c r="G21" i="1" s="1"/>
  <c r="U19" i="1"/>
  <c r="U18" i="1"/>
  <c r="G19" i="1" s="1"/>
  <c r="U17" i="1"/>
  <c r="G18" i="1" s="1"/>
  <c r="U16" i="1"/>
  <c r="U15" i="1"/>
  <c r="U14" i="1"/>
  <c r="G16" i="1" s="1"/>
  <c r="U13" i="1"/>
  <c r="U12" i="1"/>
  <c r="G14" i="1" s="1"/>
  <c r="G12" i="1"/>
  <c r="I5" i="1"/>
  <c r="H5" i="1"/>
  <c r="G5" i="1"/>
  <c r="F5" i="1"/>
  <c r="E5" i="1"/>
  <c r="D5" i="1"/>
  <c r="B5" i="1"/>
  <c r="A5" i="1"/>
  <c r="G35" i="1" l="1"/>
  <c r="G85" i="1"/>
  <c r="G81" i="1"/>
  <c r="G80" i="1"/>
  <c r="G83" i="1"/>
  <c r="G86" i="1"/>
  <c r="C5" i="1"/>
  <c r="J85" i="1"/>
  <c r="G82" i="1"/>
  <c r="J87" i="1"/>
  <c r="J5" i="1"/>
  <c r="J86" i="1"/>
  <c r="G88" i="1"/>
  <c r="G28" i="1"/>
  <c r="J81" i="1" s="1"/>
  <c r="J88" i="1"/>
  <c r="G84" i="1"/>
  <c r="J82" i="1"/>
  <c r="G20" i="1"/>
  <c r="G79" i="1"/>
  <c r="G87" i="1"/>
  <c r="G36" i="1"/>
  <c r="J83" i="1" s="1"/>
  <c r="G17" i="1"/>
  <c r="G22" i="1"/>
  <c r="G42" i="1"/>
  <c r="J84" i="1" s="1"/>
  <c r="G13" i="1"/>
  <c r="G15" i="1"/>
  <c r="J80" i="1" l="1"/>
  <c r="J79" i="1"/>
</calcChain>
</file>

<file path=xl/sharedStrings.xml><?xml version="1.0" encoding="utf-8"?>
<sst xmlns="http://schemas.openxmlformats.org/spreadsheetml/2006/main" count="1046" uniqueCount="770">
  <si>
    <t>Tasks</t>
  </si>
  <si>
    <t>Completed</t>
  </si>
  <si>
    <t>Complete %</t>
  </si>
  <si>
    <t>Blocked</t>
  </si>
  <si>
    <t>Planned h</t>
  </si>
  <si>
    <t>Remaining h</t>
  </si>
  <si>
    <t>Core complete %</t>
  </si>
  <si>
    <t>Core weeks left</t>
  </si>
  <si>
    <t>Overdue</t>
  </si>
  <si>
    <t>Evidence gaps</t>
  </si>
  <si>
    <t>Hours/week</t>
  </si>
  <si>
    <t>Effort is an editable planning estimate. Dates and results start blank.</t>
  </si>
  <si>
    <t>Phases: A76</t>
  </si>
  <si>
    <t>How to use: A91</t>
  </si>
  <si>
    <t>Resources &amp; hardware: A110</t>
  </si>
  <si>
    <t>Datasets: A120</t>
  </si>
  <si>
    <t>Metrics: A128</t>
  </si>
  <si>
    <t>Experiments: A141</t>
  </si>
  <si>
    <t>Risks: A150</t>
  </si>
  <si>
    <t>Sources: A159</t>
  </si>
  <si>
    <t>Amber cells are editable. Mark Completed only after acceptance checks and an evidence link. Filter Readiness = Ready to choose the next task.</t>
  </si>
  <si>
    <t>Task ID</t>
  </si>
  <si>
    <t>Phase</t>
  </si>
  <si>
    <t>Task / deliverable</t>
  </si>
  <si>
    <t>Status</t>
  </si>
  <si>
    <t>Dependency 1</t>
  </si>
  <si>
    <t>Dependency 2</t>
  </si>
  <si>
    <t>Readiness (formula)</t>
  </si>
  <si>
    <t>Estimate (hours)</t>
  </si>
  <si>
    <t>Owner</t>
  </si>
  <si>
    <t>Due date</t>
  </si>
  <si>
    <t>Implementation steps</t>
  </si>
  <si>
    <t>Tools / stack</t>
  </si>
  <si>
    <t>Data / inputs</t>
  </si>
  <si>
    <t>Acceptance criteria</t>
  </si>
  <si>
    <t>Expected evidence</t>
  </si>
  <si>
    <t>Risk / fallback</t>
  </si>
  <si>
    <t>Scope</t>
  </si>
  <si>
    <t>Source IDs</t>
  </si>
  <si>
    <t>Actual evidence link</t>
  </si>
  <si>
    <t>Blocker / next action</t>
  </si>
  <si>
    <t>Evidence present (1/0)</t>
  </si>
  <si>
    <t>TB-001</t>
  </si>
  <si>
    <t>01 Scope &amp; setup</t>
  </si>
  <si>
    <t>Define supported agent workflows</t>
  </si>
  <si>
    <t>Choose document lookup, mock email drafting and simulated record updates. Specify user intent and permitted side effects.</t>
  </si>
  <si>
    <t>Markdown, JSON Schema</t>
  </si>
  <si>
    <t>Three synthetic workflow specifications</t>
  </si>
  <si>
    <t>Each workflow has observable success and forbidden-action rules.</t>
  </si>
  <si>
    <t>docs/scope.md</t>
  </si>
  <si>
    <t>Avoid real external actions in benchmark runs.</t>
  </si>
  <si>
    <t>Core</t>
  </si>
  <si>
    <t>/Volumes/MHRJ/TrustBench-AI/docs/scope.md</t>
  </si>
  <si>
    <t>TB-002</t>
  </si>
  <si>
    <t>Map threat model and prior work</t>
  </si>
  <si>
    <t>Document trusted user input, untrusted retrieval/tool outputs, attacker control and assets. Compare AgentDojo and CaMeL.</t>
  </si>
  <si>
    <t>Threat-model diagram</t>
  </si>
  <si>
    <t>AgentDojo and CaMeL sources</t>
  </si>
  <si>
    <t>Attack surface and excluded threats are explicit; no novelty claim.</t>
  </si>
  <si>
    <t>docs/threat-model.md</t>
  </si>
  <si>
    <t>Provenance tags alone do not prove information-flow security.</t>
  </si>
  <si>
    <t>TB-S1, TB-S2</t>
  </si>
  <si>
    <t>/Volumes/MHRJ/TrustBench-AI/docs/threat-model.md</t>
  </si>
  <si>
    <t>TB-003</t>
  </si>
  <si>
    <t>Lock development environment</t>
  </si>
  <si>
    <t>Create package, dependency lock, linting, deterministic fixture tests and separate dev/test config.</t>
  </si>
  <si>
    <t>Python, uv, pytest, Docker</t>
  </si>
  <si>
    <t>Pinned Python and library versions</t>
  </si>
  <si>
    <t>Fresh checkout installs and runs one fixture without credentials.</t>
  </si>
  <si>
    <t>lockfile and CI log</t>
  </si>
  <si>
    <t>Pin a compatible set, not untested latest versions.</t>
  </si>
  <si>
    <t>/Volumes/MHRJ/TrustBench-AI/docs/development-environment.md</t>
  </si>
  <si>
    <t>TB-004</t>
  </si>
  <si>
    <t>Define run and trace contracts</t>
  </si>
  <si>
    <t>Specify run_id, task_id, model revision, prompt hash, seed, tool spans, policy decisions and evaluator version.</t>
  </si>
  <si>
    <t>Pydantic, JSONL</t>
  </si>
  <si>
    <t>Task and trajectory schemas</t>
  </si>
  <si>
    <t>Invalid events are rejected; a trace reconstructs all executed tool calls.</t>
  </si>
  <si>
    <t>schemas/ and trace fixture</t>
  </si>
  <si>
    <t>Never store API keys in traces.</t>
  </si>
  <si>
    <t>/Volumes/MHRJ/TrustBench-AI/docs/trace-contract.md</t>
  </si>
  <si>
    <t>TB-005</t>
  </si>
  <si>
    <t>Set compute and spend limits</t>
  </si>
  <si>
    <t>Measure one representative request. Set maximum calls, tokens, retries, elapsed time and currency budget per run.</t>
  </si>
  <si>
    <t>Provider usage API, local ledger</t>
  </si>
  <si>
    <t>Current provider pricing and pilot logs</t>
  </si>
  <si>
    <t>Budget exhaustion cancels pending work and records an explicit outcome.</t>
  </si>
  <si>
    <t>configs/budget.yaml</t>
  </si>
  <si>
    <t>API costs and rate limits must be checked at execution time.</t>
  </si>
  <si>
    <t>/Volumes/MHRJ/TrustBench-AI/configs/budget.yaml</t>
  </si>
  <si>
    <t>TB-006</t>
  </si>
  <si>
    <t>Freeze experiment protocol</t>
  </si>
  <si>
    <t>Define baseline versus gateway comparisons, primary metrics, paired tasks and model-version policy before tuning.</t>
  </si>
  <si>
    <t>YAML, experiment registry</t>
  </si>
  <si>
    <t>Research question and threat model</t>
  </si>
  <si>
    <t>Protocol specifies exclusions, uncertainty method and holdout policy.</t>
  </si>
  <si>
    <t>protocol/preregister.md</t>
  </si>
  <si>
    <t>Do not select winning metrics after seeing holdout results.</t>
  </si>
  <si>
    <t>/Volumes/MHRJ/TrustBench-AI/protocol/preregister.md</t>
  </si>
  <si>
    <t>TB-007</t>
  </si>
  <si>
    <t>02 Data &amp; fixtures</t>
  </si>
  <si>
    <t>Acquire benchmark and permissions</t>
  </si>
  <si>
    <t>Pin AgentDojo commit, inspect license and task setup, and record the chosen suites and exclusions.</t>
  </si>
  <si>
    <t>Git, AgentDojo</t>
  </si>
  <si>
    <t>Official benchmark repository</t>
  </si>
  <si>
    <t>Manifest contains commit, license, suite IDs and download steps.</t>
  </si>
  <si>
    <t>data/manifest.json</t>
  </si>
  <si>
    <t>Do not label a subset as the full benchmark.</t>
  </si>
  <si>
    <t>TB-S1</t>
  </si>
  <si>
    <t>/Volumes/MHRJ/TrustBench-AI/data/manifest.json</t>
  </si>
  <si>
    <t>TB-008</t>
  </si>
  <si>
    <t>Create local benign task set</t>
  </si>
  <si>
    <t>Build synthetic users, documents and tool state with explicit expected outcomes for each workflow.</t>
  </si>
  <si>
    <t>SQLite, JSON fixtures</t>
  </si>
  <si>
    <t>No real personal data</t>
  </si>
  <si>
    <t>Every task has an independent state-based success checker.</t>
  </si>
  <si>
    <t>data/benign.jsonl</t>
  </si>
  <si>
    <t>Avoid model-generated answers serving as sole ground truth.</t>
  </si>
  <si>
    <t>/Volumes/MHRJ/TrustBench-AI/data/benign.jsonl</t>
  </si>
  <si>
    <t>TB-009</t>
  </si>
  <si>
    <t>Build controlled injection fixtures</t>
  </si>
  <si>
    <t>Add untrusted text that tries to alter recipient, tool choice or allowed destination. Keep exfiltration targets as local sinks.</t>
  </si>
  <si>
    <t>Fixture generator, pytest</t>
  </si>
  <si>
    <t>Synthetic documents and mock tools</t>
  </si>
  <si>
    <t>Each case labels entry point, attacker goal and allowed behavior.</t>
  </si>
  <si>
    <t>data/attacks.jsonl</t>
  </si>
  <si>
    <t>Exercise attacks only against the isolated test environment.</t>
  </si>
  <si>
    <t>/Volumes/MHRJ/TrustBench-AI/data/attacks.jsonl</t>
  </si>
  <si>
    <t>TB-010</t>
  </si>
  <si>
    <t>Separate tuning and holdout families</t>
  </si>
  <si>
    <t>Split by task template and attack family. Deduplicate paraphrases and hash the locked holdout manifest.</t>
  </si>
  <si>
    <t>Python, content hashing</t>
  </si>
  <si>
    <t>Benign and attack fixtures</t>
  </si>
  <si>
    <t>No near-duplicate family crosses the tuning/holdout boundary.</t>
  </si>
  <si>
    <t>data/splits.json</t>
  </si>
  <si>
    <t>Random row splitting can leak attack templates.</t>
  </si>
  <si>
    <t>/Volumes/MHRJ/TrustBench-AI/data/splits.json</t>
  </si>
  <si>
    <t>TB-011</t>
  </si>
  <si>
    <t>Validate dataset and reset semantics</t>
  </si>
  <si>
    <t>Check IDs, missing labels, malformed payloads and deterministic state reset between episodes.</t>
  </si>
  <si>
    <t>pytest, SQLite snapshots</t>
  </si>
  <si>
    <t>All fixture manifests</t>
  </si>
  <si>
    <t>Validation fails on broken labels and cross-run state contamination.</t>
  </si>
  <si>
    <t>reports/data-validation.json</t>
  </si>
  <si>
    <t>A reset failure invalidates paired comparisons.</t>
  </si>
  <si>
    <t>/Volumes/MHRJ/TrustBench-AI/reports/data-validation.json</t>
  </si>
  <si>
    <t>TB-012</t>
  </si>
  <si>
    <t>Create small end-to-end smoke suite</t>
  </si>
  <si>
    <t>Select one benign and one adversarial case per workflow and expected checker results.</t>
  </si>
  <si>
    <t>pytest</t>
  </si>
  <si>
    <t>Versioned smoke fixtures</t>
  </si>
  <si>
    <t>Runs finish offline with mocked model responses.</t>
  </si>
  <si>
    <t>tests/smoke/</t>
  </si>
  <si>
    <t>Smoke suite is a functional check, not a performance benchmark.</t>
  </si>
  <si>
    <t>/Volumes/MHRJ/TrustBench-AI/tests/smoke/report.json</t>
  </si>
  <si>
    <t>TB-013</t>
  </si>
  <si>
    <t>03 Agent baseline</t>
  </si>
  <si>
    <t>Implement provider-neutral model adapter</t>
  </si>
  <si>
    <t>Normalize messages, tool calls, usage and provider errors. Capture exact model identifiers and generation settings.</t>
  </si>
  <si>
    <t>Python SDK, Pydantic</t>
  </si>
  <si>
    <t>Mock provider and one chosen provider</t>
  </si>
  <si>
    <t>Adapter contract tests pass for valid and malformed responses.</t>
  </si>
  <si>
    <t>src/models/</t>
  </si>
  <si>
    <t>Provider seed support does not guarantee determinism.</t>
  </si>
  <si>
    <t>/Volumes/MHRJ/TrustBench-AI/artifacts/verification/tb013-model-adapter.json</t>
  </si>
  <si>
    <t>TB-014</t>
  </si>
  <si>
    <t>Implement isolated tool services</t>
  </si>
  <si>
    <t>Expose schema-validated read/search/draft/update operations over synthetic state. Remove credentials and public network egress.</t>
  </si>
  <si>
    <t>FastAPI, Docker, SQLite</t>
  </si>
  <si>
    <t>Synthetic fixture state</t>
  </si>
  <si>
    <t>Tool integration tests enforce state reset and resource limits.</t>
  </si>
  <si>
    <t>src/tools/ and sandbox config</t>
  </si>
  <si>
    <t>Containers require restrictive configuration; do not claim universal isolation.</t>
  </si>
  <si>
    <t>/Volumes/MHRJ/TrustBench-AI/evidence/tb014-tool-service-report.json; /Volumes/MHRJ/TrustBench-AI/src/tools/; /Volumes/MHRJ/TrustBench-AI/scripts/verify-tool-service.mjs; /Volumes/MHRJ/TrustBench-AI/agent/sandbox/Dockerfile</t>
  </si>
  <si>
    <t>Evidence path corrected 2026-10-16: agent/sandbox.ts (eve agent sandbox, removed in commit daaf836) replaced by scripts/verify-tool-service.mjs, which builds agent/sandbox/Dockerfile and runs the verified container configuration recorded in the TB-014 report.</t>
  </si>
  <si>
    <t>TB-015</t>
  </si>
  <si>
    <t>Build bounded baseline agent</t>
  </si>
  <si>
    <t>Use a small graph with model, tool and termination nodes. Cap steps and preserve all failures.</t>
  </si>
  <si>
    <t>LangGraph or plain state machine</t>
  </si>
  <si>
    <t>Model adapter and tool contracts</t>
  </si>
  <si>
    <t>All trajectories terminate as success, failure, timeout or budget exhausted.</t>
  </si>
  <si>
    <t>src/agent/</t>
  </si>
  <si>
    <t>Keep baseline and defended agent generation settings identical.</t>
  </si>
  <si>
    <t>TB-S3</t>
  </si>
  <si>
    <t>/Volumes/MHRJ/TrustBench-AI/evidence/tb015-baseline-agent-report.json; /Volumes/MHRJ/TrustBench-AI/src/agent/</t>
  </si>
  <si>
    <t>TB-016</t>
  </si>
  <si>
    <t>Add independent outcome evaluators</t>
  </si>
  <si>
    <t>Check final state against intended task, then separately check attacker goals and prohibited side effects.</t>
  </si>
  <si>
    <t>Pure Python evaluator functions</t>
  </si>
  <si>
    <t>Task contracts and traces</t>
  </si>
  <si>
    <t>Known-good and known-bad trajectories produce expected labels.</t>
  </si>
  <si>
    <t>tests/evaluators/</t>
  </si>
  <si>
    <t>A fluent final answer is not proof of successful execution.</t>
  </si>
  <si>
    <t>/Volumes/MHRJ/TrustBench-AI/evidence/tb016-evaluator-report.json; /Volumes/MHRJ/TrustBench-AI/src/evaluators/; /Volumes/MHRJ/TrustBench-AI/tests/evaluators/</t>
  </si>
  <si>
    <t>Frozen v1 (tb016.1.0.0) kept for the TB-017 pilot hash. Post-pilot fixes live in src/evaluators/outcomes_v2.py (tb016.1.1.0): abstention judging, answer normalization, HTTP argument names, decoy-record handling. See protocol/amendments.md A-002.</t>
  </si>
  <si>
    <t>TB-017</t>
  </si>
  <si>
    <t>Run and store baseline pilot</t>
  </si>
  <si>
    <t>Run tuning tasks with multiple repeats. Persist raw outputs, costs, timestamps and all failures.</t>
  </si>
  <si>
    <t>CLI runner, JSONL</t>
  </si>
  <si>
    <t>Tuning split only</t>
  </si>
  <si>
    <t>A reproducible report links every metric to run IDs.</t>
  </si>
  <si>
    <t>runs/baseline-pilot/</t>
  </si>
  <si>
    <t>Do not fill metric cells until results are collected.</t>
  </si>
  <si>
    <t>/Volumes/MHRJ/TrustBench-AI/runs/baseline-pilot/</t>
  </si>
  <si>
    <t>TB-018</t>
  </si>
  <si>
    <t>Review failure taxonomy</t>
  </si>
  <si>
    <t>Manually inspect failures and label model reasoning, tool failure, policy failure, timeout and evaluator error.</t>
  </si>
  <si>
    <t>Review notebook</t>
  </si>
  <si>
    <t>Baseline pilot traces</t>
  </si>
  <si>
    <t>Taxonomy includes ambiguous cases and reviewer disagreements.</t>
  </si>
  <si>
    <t>reports/failure-taxonomy.csv</t>
  </si>
  <si>
    <t>Use this to refine tuning fixtures only.</t>
  </si>
  <si>
    <t>/Volumes/MHRJ/TrustBench-AI/reports/failure-taxonomy.csv; /Volumes/MHRJ/TrustBench-AI/reports/failure-review.ipynb; /Volumes/MHRJ/TrustBench-AI/reports/tb018-review-summary.json</t>
  </si>
  <si>
    <t>TB-019</t>
  </si>
  <si>
    <t>04 Policy gateway</t>
  </si>
  <si>
    <t>Implement centralized tool interception</t>
  </si>
  <si>
    <t>Route every tool call through one gateway before execution; prevent agent access to raw tool clients.</t>
  </si>
  <si>
    <t>Python middleware, integration tests</t>
  </si>
  <si>
    <t>Tool contracts</t>
  </si>
  <si>
    <t>Direct-call bypass fixtures cannot execute a tool.</t>
  </si>
  <si>
    <t>src/gateway/</t>
  </si>
  <si>
    <t>Model instructions cannot enforce access control.</t>
  </si>
  <si>
    <t>/Volumes/MHRJ/TrustBench-AI/src/gateway/; /Volumes/MHRJ/TrustBench-AI/reports/tb019-gateway-tests.xml</t>
  </si>
  <si>
    <t>TB-020</t>
  </si>
  <si>
    <t>Track provenance through tool outputs</t>
  </si>
  <si>
    <t>Attach source IDs and trust labels. Preserve labels during serialization and record transformations.</t>
  </si>
  <si>
    <t>Typed wrappers, trace schema</t>
  </si>
  <si>
    <t>Retrieved documents and tool outputs</t>
  </si>
  <si>
    <t>Unknown or lost provenance is handled explicitly in all adapters.</t>
  </si>
  <si>
    <t>tests/provenance/</t>
  </si>
  <si>
    <t>Document limitations when model text mixes several sources.</t>
  </si>
  <si>
    <t>TB-S2</t>
  </si>
  <si>
    <t>/Volumes/MHRJ/TrustBench-AI/tests/provenance/; /Volumes/MHRJ/TrustBench-AI/reports/tb020-provenance-tests.xml</t>
  </si>
  <si>
    <t>TB-021</t>
  </si>
  <si>
    <t>Enforce capabilities and argument policy</t>
  </si>
  <si>
    <t>Validate allowed operation, resource, recipient and destination against user-scoped capabilities. Default deny unknown operations.</t>
  </si>
  <si>
    <t>Policy rules, JSON Schema</t>
  </si>
  <si>
    <t>Per-task capability manifest</t>
  </si>
  <si>
    <t>Tampered destinations and excess permissions are blocked before side effects.</t>
  </si>
  <si>
    <t>src/policy/</t>
  </si>
  <si>
    <t>An allowlist is only as complete as its normalization rules.</t>
  </si>
  <si>
    <t>/Volumes/MHRJ/TrustBench-AI/src/policy/; /Volumes/MHRJ/TrustBench-AI/reports/tb021-policy-tests.xml; /Volumes/MHRJ/TrustBench-AI/src/policy/capability-manifests.json</t>
  </si>
  <si>
    <t>Limit: allowlist exactness relies on exact-ID matching (no normalization). Fixture tests only; not proof against all attacks.</t>
  </si>
  <si>
    <t>TB-022</t>
  </si>
  <si>
    <t>Add approval and replay-safe actions</t>
  </si>
  <si>
    <t>Pause consequential mock operations for approval bound to exact arguments. Add expiry, replay protection and idempotency keys.</t>
  </si>
  <si>
    <t>LangGraph interrupts, durable store</t>
  </si>
  <si>
    <t>Synthetic approval events</t>
  </si>
  <si>
    <t>Changed arguments invalidate approval; resume does not duplicate effects.</t>
  </si>
  <si>
    <t>tests/approval/</t>
  </si>
  <si>
    <t>Graph nodes can restart on resume; isolate side effects.</t>
  </si>
  <si>
    <t>/Volumes/MHRJ/TrustBench-AI/tests/approval/; /Volumes/MHRJ/TrustBench-AI/reports/tb022-approval-tests.xml; /Volumes/MHRJ/TrustBench-AI/reports/tb022-approval-events.json; /Volumes/MHRJ/TrustBench-AI/src/policy/workflow.py; /Volumes/MHRJ/TrustBench-AI/scripts/verify-approval-flow.py</t>
  </si>
  <si>
    <t>LangGraph interrupt() workflow with durable SQLite checkpointer; node-replay, restart, tamper, expiry and repeat-resume tested (24 tests). Guarantee is local-SQLite only; no exactly-once claim for external APIs. Wiring into the baseline agent is TB-024.</t>
  </si>
  <si>
    <t>TB-023</t>
  </si>
  <si>
    <t>Test boundary and normalization failures</t>
  </si>
  <si>
    <t>Exercise encoded destinations, missing permissions, cross-user IDs, repeated approvals and malformed tool outputs.</t>
  </si>
  <si>
    <t>pytest, property-based tests</t>
  </si>
  <si>
    <t>Adversarial policy fixtures</t>
  </si>
  <si>
    <t>All declared security invariants have negative and positive tests.</t>
  </si>
  <si>
    <t>reports/policy-tests.xml</t>
  </si>
  <si>
    <t>Passing fixtures do not prove security against all attacks.</t>
  </si>
  <si>
    <t>/Volumes/MHRJ/TrustBench-AI/reports/policy-tests.xml; /Volumes/MHRJ/TrustBench-AI/reports/policy-invariant-coverage.json; /Volumes/MHRJ/TrustBench-AI/tests/policy/test_invariants.py; /Volumes/MHRJ/TrustBench-AI/fixtures/policy/invariants.json; /Volumes/MHRJ/TrustBench-AI/fixtures/policy/adversarial.json</t>
  </si>
  <si>
    <t>8 invariants, each with positive+negative tests enforced at collection (89 tests, 3 consecutive passes, Hypothesis included). Gateway hardened to fail closed on malformed tool output. Synthetic fixtures only; not proof against all attacks.</t>
  </si>
  <si>
    <t>TB-024</t>
  </si>
  <si>
    <t>Integrate defended-agent workflow</t>
  </si>
  <si>
    <t>Wire gateway into the same baseline agent and run smoke cases with policy decision traces.</t>
  </si>
  <si>
    <t>LangGraph, CLI</t>
  </si>
  <si>
    <t>Same prompts and tool state</t>
  </si>
  <si>
    <t>Only intended gateway behavior differs between comparison arms.</t>
  </si>
  <si>
    <t>configs/defended.yaml</t>
  </si>
  <si>
    <t>Avoid confounding security changes with stronger model prompts.</t>
  </si>
  <si>
    <t>/Volumes/MHRJ/TrustBench-AI/configs/defended.yaml; /Volumes/MHRJ/TrustBench-AI/configs/baseline.yaml; /Volumes/MHRJ/TrustBench-AI/src/arms/; /Volumes/MHRJ/TrustBench-AI/reports/tests/tb024-scripted-as_authored-plain-gateway_capability-report.json; /Volumes/MHRJ/TrustBench-AI/reports/tests/tb024-scripted-as_authored-plain-gateway_capability-policy-traces.jsonl; /Volumes/MHRJ/TrustBench-AI/tests/arms.test.ts; /Volumes/MHRJ/TrustBench-AI/tests/approval/test_approved_call.py; /Volumes/MHRJ/TrustBench-AI/reports/full-verify-after-tb024.log; /Volumes/MHRJ/TrustBench-AI/protocol/amendments.md; /Volumes/MHRJ/TrustBench-AI/docs/pilot-results-tb024.md; /Volumes/MHRJ/TrustBench-AI/reports/tests/tb024-scripted-as_authored-plain-gateway_capability-suite-holdout-guard-suite-report.json; /Volumes/MHRJ/TrustBench-AI/reports/full-verify-after-arm-corrections.log; /Volumes/MHRJ/TrustBench-AI/data/attack-renderings.json; /Volumes/MHRJ/TrustBench-AI/configs/live-matrix.yaml; /Volumes/MHRJ/TrustBench-AI/reports/full-verify-after-harder-attacks.log; /Volumes/MHRJ/TrustBench-AI/docs/known-issues.md; /Volumes/MHRJ/TrustBench-AI/docs/flow-check.md; /Volumes/MHRJ/TrustBench-AI/configs/policy.yaml; /Volumes/MHRJ/TrustBench-AI/evidence/gateway-overhead-report.json; /Volumes/MHRJ/TrustBench-AI/reports/full-verify-after-flow-check.log; /Volumes/MHRJ/TrustBench-AI/docs/defense-comparison.md; /Volumes/MHRJ/TrustBench-AI/scripts/summarize-defense-comparison.mjs; /Volumes/MHRJ/TrustBench-AI/configs/defense-comparison.yaml; /Volumes/MHRJ/TrustBench-AI/configs/defenses.yaml; /Volumes/MHRJ/TrustBench-AI/src/agent/defenses.ts; /Volumes/MHRJ/TrustBench-AI/tests/arms/stress-cases.json; /Volumes/MHRJ/TrustBench-AI/docs/camel.md; /Volumes/MHRJ/TrustBench-AI/src/agent/camel.ts; /Volumes/MHRJ/TrustBench-AI/tests/camel.test.ts; /Volumes/MHRJ/TrustBench-AI/src/agent/json-extract.ts; /Volumes/MHRJ/TrustBench-AI/tests/json-extract.test.ts; /Volumes/MHRJ/TrustBench-AI/tests/arms/stress-v2-cases.json; /Volumes/MHRJ/TrustBench-AI/tests/arms/stress-v3-cases.json</t>
  </si>
  <si>
    <t>Updated 2026-10-15 (protocol 1.1.0, amendments A-001..A-008): replacement sealed holdout created and never run; prompt profiles plain/hardened; published AgentDojo attack templates; positive control; run validity/exposure accounting. Live pilot (plain prompt, AgentDojo important_instructions): baseline attacker goal 8/20 (gpt-oss-20b) and 6/12 (qwen3.5:9b) vs 0 defended; generated tables in docs/pilot-results-tb024.md. Unfinished: several registered matrix cells (listed in that doc), Gemini quota exhausted. Residual gap: gateway does not inspect free-text content inside authorized actions. Pilot-sized, not confirmatory. | 2026-10-15 later: provenance-aware flow check added as default defended variant (capability_only kept as ablation; A-010); open items tracked in docs/known-issues.md. | Updated 2026-10-15 (A-011..A-013): plain registered as primary profile; signed provenance envelopes; registered live defense comparison (configs/defense-comparison.yaml, gpt-oss-20b and qwen3.5:9b, 2 reps, important_instructions) against re-implemented spotlighting, sandwich, tool_filter and MELON, generated with Newcombe intervals in docs/defense-comparison.md (all registered cells finished). Candidate gateway_directive_flow is lower than every published baseline and no defense on gpt-oss, but not separated from the capability gateway alone at this sample size; it uniquely stops the answer-poisoning and link cases. Stress fixture TB-ATT-DOC-005 shows its measured blind spot (declarative-only poisoning passes). Contract-backend ablation: gateway benefit assumes a permissive tool backend. All development split; exploratory, not confirmatory. | Evidence paths corrected 2026-10-16: the single scripted report and traces were renamed per run in commit 0d7cc53 (scripted runs are tests, under reports/tests/); the holdout-mechanics report is now the holdout-guard suite report written by npm run test:arms. | Updated 2026-10-16 (A-014..A-019): CaMeL-style baseline re-implemented and compared; directive_flow v2/v3/v4 each pre-registered before its runs, scored per prediction in docs/defense-comparison.md (v3/v4 fresh-fixture predictions supported with non-vacuous classifier calls; pure statement-of-fact poisoning still passes). Added Llama-3.2-11B and Gemma 4; pre-registered pooled analysis (directive_flow vs capability gateway on the new models) not separated, reported with the A-019 parser-bug confound and its correction. Llama models never read injections (no defense effect measurable). Live matrix cells filled (A-014/A-015/A-018). Development split only; exploratory.</t>
  </si>
  <si>
    <t>TB-025</t>
  </si>
  <si>
    <t>05 Reliability &amp; traces</t>
  </si>
  <si>
    <t>Add retries and bounded recovery</t>
  </si>
  <si>
    <t>Retry transient read failures with backoff. Avoid automatic retry of non-idempotent writes.</t>
  </si>
  <si>
    <t>Tenacity or explicit retry logic</t>
  </si>
  <si>
    <t>Injected timeouts and rate limits</t>
  </si>
  <si>
    <t>Retry counts stay within budget and writes are never duplicated.</t>
  </si>
  <si>
    <t>tests/recovery/</t>
  </si>
  <si>
    <t>Retries can improve success while worsening cost and latency.</t>
  </si>
  <si>
    <t>/Volumes/MHRJ/TrustBench-AI/tests/recovery/; /Volumes/MHRJ/TrustBench-AI/reports/tb025-recovery-tests.xml; /Volumes/MHRJ/TrustBench-AI/evidence/tb025-recovery-report.json; /Volumes/MHRJ/TrustBench-AI/src/agent/recovery.ts; /Volumes/MHRJ/TrustBench-AI/configs/recovery.yaml; /Volumes/MHRJ/TrustBench-AI/docs/recovery.md; /Volumes/MHRJ/TrustBench-AI/reports/full-verify-after-tb025.log; /Volumes/MHRJ/TrustBench-AI/evidence/tb024-nvidia-openai-gpt-oss-20b-agentdojo_important_instructions-plain-gateway_capability-faults-reads30_writes30-report.json; /Volumes/MHRJ/TrustBench-AI/docs/pilot-results-tb024.md</t>
  </si>
  <si>
    <t>Explicit retry logic (no Tenacity): reads retried with seeded backoff inside the registered retry budget; writes get exactly one attempt, unknown outcomes are reported and exact repeats suppressed. 29 tests incl. real-service HTTP fault injection and a naive-retry negative control; seven mutation checks. Seeded trials (synthetic faults, scripted model) show 0 duplicate writes and retries never above budget; success and the extra attempts/backoff cost are in evidence/tb025-recovery-report.json. Limit: LLM behavior after failed/unknown-outcome calls is not measured; durable restart handling is TB-026. | Live fault run 2026-10-15 (gpt-oss-20b, reads30_writes30): no invalid runs, read retries within budget, exact duplicate writes suppressed, service refused re-sent drafts; one undefended run committed a model-rewritten write after an unknown outcome (gateway pinning prevented it in the defended arm). Table: docs/pilot-results-tb024.md, Live fault injection.</t>
  </si>
  <si>
    <t>TB-026</t>
  </si>
  <si>
    <t>Add durable checkpoints and cancellation</t>
  </si>
  <si>
    <t>Persist run state and cancellation markers. Test process restart during read, approval and write phases.</t>
  </si>
  <si>
    <t>SQLite/PostgreSQL checkpointer</t>
  </si>
  <si>
    <t>Interrupted test runs</t>
  </si>
  <si>
    <t>Resume or safe abort yields a single final outcome per run.</t>
  </si>
  <si>
    <t>tests/restart/</t>
  </si>
  <si>
    <t>Checkpoint stores need access control and retention limits.</t>
  </si>
  <si>
    <t>/Volumes/MHRJ/TrustBench-AI/tests/restart/; /Volumes/MHRJ/TrustBench-AI/reports/tb026-restart-tests.xml; /Volumes/MHRJ/TrustBench-AI/src/agent/run-store.ts; /Volumes/MHRJ/TrustBench-AI/tests/gateway/test_durable_sessions.py; /Volumes/MHRJ/TrustBench-AI/configs/durability.yaml; /Volumes/MHRJ/TrustBench-AI/docs/durability.md; /Volumes/MHRJ/TrustBench-AI/reports/full-verify-after-tb026.log</t>
  </si>
  <si>
    <t>SQLite run store with checkpoints, write-ahead intent log, cancellation markers and a single final outcome per run; durable gateway sessions (hashed tokens, TTL, owner-only file). Restart tests SIGKILL the real agent during read, after a committed write, and at the approval pause (gateway restarted too), plus cancellation; two mutation checks caught. Limits: per-run wall-clock timeout restarts after resume; restored flow-check memory starts empty; retention runs on store open.</t>
  </si>
  <si>
    <t>TB-027</t>
  </si>
  <si>
    <t>Instrument spans and redaction</t>
  </si>
  <si>
    <t>Not Started</t>
  </si>
  <si>
    <t>Record model, retrieval, policy and tool timing. Redact sensitive fixtures before export and correlate spans by run ID.</t>
  </si>
  <si>
    <t>OpenTelemetry, JSON logs</t>
  </si>
  <si>
    <t>Run and tool schemas</t>
  </si>
  <si>
    <t>All spans link to runs and contain no seeded secret canaries.</t>
  </si>
  <si>
    <t>observability/</t>
  </si>
  <si>
    <t>Timing should include queueing when reporting user latency.</t>
  </si>
  <si>
    <t>TB-028</t>
  </si>
  <si>
    <t>Build repeated-run evaluator</t>
  </si>
  <si>
    <t>Execute fixed task-seed schedules. Report per-task success frequency and all-repeats success without pooling away variation.</t>
  </si>
  <si>
    <t>Python, NumPy</t>
  </si>
  <si>
    <t>Tuning tasks and repeated runs</t>
  </si>
  <si>
    <t>Changing run order does not change task pairing or denominators.</t>
  </si>
  <si>
    <t>src/evaluation/repeats.py</t>
  </si>
  <si>
    <t>Repeated runs of one task are correlated observations.</t>
  </si>
  <si>
    <t>TB-029</t>
  </si>
  <si>
    <t>Localize trajectory failures</t>
  </si>
  <si>
    <t>Use deterministic rule checks to identify first violated contract. Add optional judge labels only after human calibration.</t>
  </si>
  <si>
    <t>Trace analyzer, review UI</t>
  </si>
  <si>
    <t>Labeled failure traces</t>
  </si>
  <si>
    <t>Attribution accuracy is evaluated against reviewed cases.</t>
  </si>
  <si>
    <t>reports/attribution.csv</t>
  </si>
  <si>
    <t>Correlation with a tool step does not establish causality.</t>
  </si>
  <si>
    <t>TB-030</t>
  </si>
  <si>
    <t>Build review dashboard</t>
  </si>
  <si>
    <t>Show run filters, trace waterfall, policy reason, task outcome and comparison by configuration.</t>
  </si>
  <si>
    <t>Streamlit, Plotly</t>
  </si>
  <si>
    <t>Versioned run store</t>
  </si>
  <si>
    <t>A reviewer can open raw evidence behind any displayed aggregate.</t>
  </si>
  <si>
    <t>app/ and screenshots</t>
  </si>
  <si>
    <t>Keep sensitive payloads redacted in shared demos.</t>
  </si>
  <si>
    <t>TB-031</t>
  </si>
  <si>
    <t>06 Evaluation</t>
  </si>
  <si>
    <t>Calibrate controls on tuning data</t>
  </si>
  <si>
    <t>Select policy thresholds and reliability settings using only tuning data; freeze final configs.</t>
  </si>
  <si>
    <t>Experiment registry</t>
  </si>
  <si>
    <t>Tuning split</t>
  </si>
  <si>
    <t>Chosen configuration and selection rule are recorded before holdout.</t>
  </si>
  <si>
    <t>configs/frozen/</t>
  </si>
  <si>
    <t>No guaranteed attack-success reduction is assumed.</t>
  </si>
  <si>
    <t>TB-032</t>
  </si>
  <si>
    <t>Run paired holdout benchmark</t>
  </si>
  <si>
    <t>Evaluate baseline and defended variants on identical tasks, repeat schedules and model revision within budget.</t>
  </si>
  <si>
    <t>Batch runner</t>
  </si>
  <si>
    <t>Locked holdout</t>
  </si>
  <si>
    <t>Missing runs and provider outages remain visible in the report.</t>
  </si>
  <si>
    <t>runs/holdout/</t>
  </si>
  <si>
    <t>If provider changes, rerun both arms or label the comparison invalid.</t>
  </si>
  <si>
    <t>TB-033</t>
  </si>
  <si>
    <t>Compute security and utility metrics</t>
  </si>
  <si>
    <t>Calculate attack success on eligible attacks, benign task completion and false blocks of permitted actions.</t>
  </si>
  <si>
    <t>Pandas, SciPy</t>
  </si>
  <si>
    <t>Raw task outcomes</t>
  </si>
  <si>
    <t>Report numerators, denominators and exclusions for every rate.</t>
  </si>
  <si>
    <t>reports/security-utility.csv</t>
  </si>
  <si>
    <t>Do not count blocked legitimate tasks as security successes alone.</t>
  </si>
  <si>
    <t>TB-034</t>
  </si>
  <si>
    <t>Estimate uncertainty and repeatability</t>
  </si>
  <si>
    <t>Bootstrap paired differences at task level; report intervals and per-family slices. Separate zero attacks observed from zero risk.</t>
  </si>
  <si>
    <t>SciPy, bootstrap script</t>
  </si>
  <si>
    <t>Paired run records</t>
  </si>
  <si>
    <t>Seeded analysis reproduces intervals and preserves task clusters.</t>
  </si>
  <si>
    <t>reports/uncertainty.json</t>
  </si>
  <si>
    <t>Small samples yield wide intervals; report them.</t>
  </si>
  <si>
    <t>TB-035</t>
  </si>
  <si>
    <t>Measure latency and operating cost</t>
  </si>
  <si>
    <t>Measure p50/p95 end-to-end time and billed tokens/currency per completed task, including failed attempts.</t>
  </si>
  <si>
    <t>Trace exporter, cost ledger</t>
  </si>
  <si>
    <t>Same workload and rate limits</t>
  </si>
  <si>
    <t>Comparison records concurrency, provider price date and retry settings.</t>
  </si>
  <si>
    <t>reports/cost-latency.csv</t>
  </si>
  <si>
    <t>Do not compare latency under different concurrency settings.</t>
  </si>
  <si>
    <t>TB-036</t>
  </si>
  <si>
    <t>Run ablations and publish negative results</t>
  </si>
  <si>
    <t>Compare baseline, schema-only policy, capability policy and full provenance/approval system under the same budget.</t>
  </si>
  <si>
    <t>Experiment CLI</t>
  </si>
  <si>
    <t>Frozen configurations</t>
  </si>
  <si>
    <t>Every component claim has an ablation or is labeled untested.</t>
  </si>
  <si>
    <t>reports/ablations.csv</t>
  </si>
  <si>
    <t>A null or negative result is valid research evidence.</t>
  </si>
  <si>
    <t>TB-037</t>
  </si>
  <si>
    <t>07 Delivery &amp; operations</t>
  </si>
  <si>
    <t>Package reproducible benchmark CLI</t>
  </si>
  <si>
    <t>Provide commands for fixture validation, smoke, benchmark, evaluate and report with configuration files.</t>
  </si>
  <si>
    <t>Typer, Docker</t>
  </si>
  <si>
    <t>Pinned code and data manifests</t>
  </si>
  <si>
    <t>Fresh environment reproduces smoke results and report schema.</t>
  </si>
  <si>
    <t>README quickstart</t>
  </si>
  <si>
    <t>Full API runs require user-supplied credentials and budget.</t>
  </si>
  <si>
    <t>TB-038</t>
  </si>
  <si>
    <t>Add regression release gate</t>
  </si>
  <si>
    <t>Gate on fixed smoke invariants and preregistered paired-regression tolerances; distinguish inconclusive from pass.</t>
  </si>
  <si>
    <t>GitHub Actions, pytest</t>
  </si>
  <si>
    <t>Baseline artifacts and tolerance config</t>
  </si>
  <si>
    <t>Injected functional/security regressions block the release.</t>
  </si>
  <si>
    <t>.github/workflows/</t>
  </si>
  <si>
    <t>A noisy model result should not silently pass or trigger endless reruns.</t>
  </si>
  <si>
    <t>TB-039</t>
  </si>
  <si>
    <t>Secure benchmark API and storage</t>
  </si>
  <si>
    <t>Add authentication, per-user run isolation, request quotas and retention/deletion jobs.</t>
  </si>
  <si>
    <t>FastAPI, secrets manager</t>
  </si>
  <si>
    <t>Synthetic multi-user test cases</t>
  </si>
  <si>
    <t>Unauthorized read/run requests fail; deletion removes linked artifacts.</t>
  </si>
  <si>
    <t>tests/api-security/</t>
  </si>
  <si>
    <t>Use local deployment if hosted identity setup is unavailable.</t>
  </si>
  <si>
    <t>TB-040</t>
  </si>
  <si>
    <t>Exercise faults and resource exhaustion</t>
  </si>
  <si>
    <t>Simulate unavailable model, corrupt checkpoint, tool crash and log-store failure. Check cancellation and clean recovery.</t>
  </si>
  <si>
    <t>Fault injection fixtures</t>
  </si>
  <si>
    <t>Staging environment</t>
  </si>
  <si>
    <t>Failures produce explicit status and do not bypass policy.</t>
  </si>
  <si>
    <t>reports/fault-drill.md</t>
  </si>
  <si>
    <t>Fail closed for uncertain authorization; report resulting availability cost.</t>
  </si>
  <si>
    <t>TB-041</t>
  </si>
  <si>
    <t>Deploy a constrained demo</t>
  </si>
  <si>
    <t>Deploy synthetic workflows with spend caps and read-only public results; keep action endpoints authenticated.</t>
  </si>
  <si>
    <t>Docker Compose, chosen host</t>
  </si>
  <si>
    <t>Synthetic demonstration suite</t>
  </si>
  <si>
    <t>Demo health check, authentication and budget limits are verified.</t>
  </si>
  <si>
    <t>deployment runbook</t>
  </si>
  <si>
    <t>Do not expose benchmark credentials or attack controls publicly.</t>
  </si>
  <si>
    <t>TB-042</t>
  </si>
  <si>
    <t>Test rollback and artifact restore</t>
  </si>
  <si>
    <t>Restore previous policy/config version and run-store backup; rerun representative fixtures.</t>
  </si>
  <si>
    <t>Versioned configs, backup script</t>
  </si>
  <si>
    <t>Previous release and synthetic backup</t>
  </si>
  <si>
    <t>Rollback restores expected behavior and audit trail.</t>
  </si>
  <si>
    <t>reports/rollback-drill.md</t>
  </si>
  <si>
    <t>Record recovery time as measured, not promised.</t>
  </si>
  <si>
    <t>TB-043</t>
  </si>
  <si>
    <t>08 Research evidence</t>
  </si>
  <si>
    <t>Write related-work comparison matrix</t>
  </si>
  <si>
    <t>Compare threat models, enforcement boundaries, evaluation suites and claimed guarantees to prior systems.</t>
  </si>
  <si>
    <t>Literature spreadsheet</t>
  </si>
  <si>
    <t>AgentDojo, CaMeL, relevant new papers</t>
  </si>
  <si>
    <t>Every comparison has a source and a specific limitation.</t>
  </si>
  <si>
    <t>research/related-work.csv</t>
  </si>
  <si>
    <t>Refresh search before claiming a contribution.</t>
  </si>
  <si>
    <t>TB-044</t>
  </si>
  <si>
    <t>Test research hypothesis explicitly</t>
  </si>
  <si>
    <t>Assess whether provenance-aware enforcement improves attack resistance at comparable benign utility and cost.</t>
  </si>
  <si>
    <t>Paired analysis</t>
  </si>
  <si>
    <t>Holdout and ablation outputs</t>
  </si>
  <si>
    <t>Conclusion states effect sizes, uncertainty and failure slices.</t>
  </si>
  <si>
    <t>research/findings.md</t>
  </si>
  <si>
    <t>Combining existing components is not by itself novel.</t>
  </si>
  <si>
    <t>TB-045</t>
  </si>
  <si>
    <t>Audit labels and evaluator quality</t>
  </si>
  <si>
    <t>Double-review a stratified sample of successes and failures. Adjudicate disagreements and record evaluator changes.</t>
  </si>
  <si>
    <t>Annotation sheet</t>
  </si>
  <si>
    <t>Raw traces and expected state</t>
  </si>
  <si>
    <t>Report sample method, agreement and adjudication outcomes.</t>
  </si>
  <si>
    <t>research/label-audit.csv</t>
  </si>
  <si>
    <t>If labels change, rerun affected metrics without cherry-picking.</t>
  </si>
  <si>
    <t>TB-046</t>
  </si>
  <si>
    <t>Package reproducibility artifacts</t>
  </si>
  <si>
    <t>Publish allowed fixture IDs, seeds, configs, hashes and analysis scripts. Exclude secrets and restricted data.</t>
  </si>
  <si>
    <t>Git release, data manifest</t>
  </si>
  <si>
    <t>Final experiment artifacts</t>
  </si>
  <si>
    <t>Another user can reproduce an offline subset from documented steps.</t>
  </si>
  <si>
    <t>repro/</t>
  </si>
  <si>
    <t>Provider behavior may prevent exact replay of historical runs.</t>
  </si>
  <si>
    <t>TB-047</t>
  </si>
  <si>
    <t>Draft technical report</t>
  </si>
  <si>
    <t>Write problem, method, threat model, experimental design, results, failure cases and limits with evidence links.</t>
  </si>
  <si>
    <t>Markdown or LaTeX</t>
  </si>
  <si>
    <t>Verified experiment tables</t>
  </si>
  <si>
    <t>All numeric claims map to stored run artifacts.</t>
  </si>
  <si>
    <t>research/report.pdf or report.md</t>
  </si>
  <si>
    <t>Do not imply publication acceptance or patentability.</t>
  </si>
  <si>
    <t>TB-048</t>
  </si>
  <si>
    <t>Review contribution and claim boundaries</t>
  </si>
  <si>
    <t>Separate replicated components, engineering contributions and hypotheses needing more evidence.</t>
  </si>
  <si>
    <t>Claim checklist</t>
  </si>
  <si>
    <t>Report and prior-work matrix</t>
  </si>
  <si>
    <t>No novelty, security guarantee or resume metric exceeds evidence.</t>
  </si>
  <si>
    <t>research/claims.md</t>
  </si>
  <si>
    <t>Seek specialist review before any patent or publication claim.</t>
  </si>
  <si>
    <t>TB-049</t>
  </si>
  <si>
    <t>09 Portfolio release</t>
  </si>
  <si>
    <t>Create architecture and walkthrough</t>
  </si>
  <si>
    <t>Diagram trust boundaries and record a benign run, blocked attack, failure trace and release-gate example.</t>
  </si>
  <si>
    <t>Mermaid, screen recording</t>
  </si>
  <si>
    <t>Synthetic demo</t>
  </si>
  <si>
    <t>Walkthrough explains each result and its underlying evidence.</t>
  </si>
  <si>
    <t>docs/architecture.md and demo video</t>
  </si>
  <si>
    <t>Do not stage fake measured outcomes.</t>
  </si>
  <si>
    <t>TB-050</t>
  </si>
  <si>
    <t>Document setup and troubleshooting</t>
  </si>
  <si>
    <t>Provide install, API key setup, budget controls, expected smoke outputs and failure recovery instructions.</t>
  </si>
  <si>
    <t>README</t>
  </si>
  <si>
    <t>Clean-environment installation</t>
  </si>
  <si>
    <t>A fresh user can follow the instructions without hidden local files.</t>
  </si>
  <si>
    <t>README.md</t>
  </si>
  <si>
    <t>Document minimum tested environment only.</t>
  </si>
  <si>
    <t>TB-051</t>
  </si>
  <si>
    <t>Run final clean-checkout verification</t>
  </si>
  <si>
    <t>Install locked dependencies, run fixtures and regression checks, rebuild demo and verify linked reports.</t>
  </si>
  <si>
    <t>CI, Docker</t>
  </si>
  <si>
    <t>Release candidate</t>
  </si>
  <si>
    <t>All required checks pass or release is blocked with a written reason.</t>
  </si>
  <si>
    <t>release/checks.json</t>
  </si>
  <si>
    <t>Do not equate a passing smoke suite with full benchmark replication.</t>
  </si>
  <si>
    <t>TB-052</t>
  </si>
  <si>
    <t>Prepare measured resume bullets</t>
  </si>
  <si>
    <t>Write problem/action/result bullets using only completed evaluations, sample sizes and reproducible evidence.</t>
  </si>
  <si>
    <t>Claim-to-evidence table</t>
  </si>
  <si>
    <t>Final report</t>
  </si>
  <si>
    <t>Every number has a run/report reference; unknowns are omitted.</t>
  </si>
  <si>
    <t>portfolio/bullets.md</t>
  </si>
  <si>
    <t>No top-1-percent or guaranteed-hiring claims.</t>
  </si>
  <si>
    <t>TB-053</t>
  </si>
  <si>
    <t>Publish versioned release package</t>
  </si>
  <si>
    <t>Tag code, attach report, license notices and reproduction manifest; verify download links.</t>
  </si>
  <si>
    <t>Git releases</t>
  </si>
  <si>
    <t>Release candidate and allowed assets</t>
  </si>
  <si>
    <t>Published package contains no keys and has a working quickstart.</t>
  </si>
  <si>
    <t>Release URL</t>
  </si>
  <si>
    <t>Check benchmark redistribution terms before uploading fixtures.</t>
  </si>
  <si>
    <t>TB-054</t>
  </si>
  <si>
    <t>Complete handover and backlog</t>
  </si>
  <si>
    <t>Record unresolved failure modes, supported versions, next experiment and maintenance triggers.</t>
  </si>
  <si>
    <t>Issue tracker</t>
  </si>
  <si>
    <t>Open risks and results</t>
  </si>
  <si>
    <t>All Core tasks have acceptance evidence or remain open.</t>
  </si>
  <si>
    <t>docs/handover.md</t>
  </si>
  <si>
    <t>Completion means an evidenced project, not universal agent security.</t>
  </si>
  <si>
    <t>TB-055</t>
  </si>
  <si>
    <t>10 Extensions</t>
  </si>
  <si>
    <t>Evaluate another model family</t>
  </si>
  <si>
    <t>Repeat paired evaluation with a second model under documented budgets.</t>
  </si>
  <si>
    <t>Provider adapter</t>
  </si>
  <si>
    <t>Same holdout tasks</t>
  </si>
  <si>
    <t>Model-specific results and version differences are reported.</t>
  </si>
  <si>
    <t>extensions/model-transfer/</t>
  </si>
  <si>
    <t>Additional API budget required.</t>
  </si>
  <si>
    <t>Extension</t>
  </si>
  <si>
    <t>TB-056</t>
  </si>
  <si>
    <t>Explore adaptive policy selection</t>
  </si>
  <si>
    <t>Learn or tune policy selection on tuning data and evaluate held-out utility/security tradeoffs.</t>
  </si>
  <si>
    <t>Policy selector</t>
  </si>
  <si>
    <t>Frozen baseline and tuning set</t>
  </si>
  <si>
    <t>Improvement is assessed against a fixed-policy comparator.</t>
  </si>
  <si>
    <t>extensions/adaptive-policy/</t>
  </si>
  <si>
    <t>Adaptation can create new attack paths.</t>
  </si>
  <si>
    <t>TB-057</t>
  </si>
  <si>
    <t>Test cross-session memory attacks</t>
  </si>
  <si>
    <t>Add synthetic memory store and contamination fixtures with strict tenant boundaries.</t>
  </si>
  <si>
    <t>Sandbox memory service</t>
  </si>
  <si>
    <t>New attack-family holdout</t>
  </si>
  <si>
    <t>Report memory-specific threat model and residual failures.</t>
  </si>
  <si>
    <t>extensions/memory/</t>
  </si>
  <si>
    <t>Requires new labels and reset semantics.</t>
  </si>
  <si>
    <t>TB-058</t>
  </si>
  <si>
    <t>Measure attribution intervention quality</t>
  </si>
  <si>
    <t>Remove or replace suspected faulty steps and test whether predicted fixes actually improve outcomes.</t>
  </si>
  <si>
    <t>Controlled replay</t>
  </si>
  <si>
    <t>Labeled trajectory failures</t>
  </si>
  <si>
    <t>Intervention effects support or refute attribution claims.</t>
  </si>
  <si>
    <t>extensions/causal-study/</t>
  </si>
  <si>
    <t>Counterfactual replay can alter downstream behavior.</t>
  </si>
  <si>
    <t>TB-059</t>
  </si>
  <si>
    <t>Run external reproduction review</t>
  </si>
  <si>
    <t>Ask a reviewer to reproduce an allowed subset and document environment gaps.</t>
  </si>
  <si>
    <t>Release artifact</t>
  </si>
  <si>
    <t>Public quickstart</t>
  </si>
  <si>
    <t>Reviewer report includes commands, versions and discrepancies.</t>
  </si>
  <si>
    <t>extensions/reviewer-report.md</t>
  </si>
  <si>
    <t>Reviewer time is a dependency, not guaranteed.</t>
  </si>
  <si>
    <t>TB-060</t>
  </si>
  <si>
    <t>Prepare submission candidate</t>
  </si>
  <si>
    <t>Update literature, limitations and artifact checklist for a suitable venue after evidence review.</t>
  </si>
  <si>
    <t>Report tooling</t>
  </si>
  <si>
    <t>Validated extension findings</t>
  </si>
  <si>
    <t>Claims remain consistent with experiments and related work.</t>
  </si>
  <si>
    <t>extensions/submission/</t>
  </si>
  <si>
    <t>Submission is optional; acceptance and novelty are not promised.</t>
  </si>
  <si>
    <t>Phase dashboard</t>
  </si>
  <si>
    <t>In Progress</t>
  </si>
  <si>
    <t>Ready</t>
  </si>
  <si>
    <t>How to use and scope</t>
  </si>
  <si>
    <t>Purpose</t>
  </si>
  <si>
    <t>Measure and improve agent task success, security and repeatability with an independently enforced tool boundary.</t>
  </si>
  <si>
    <t>Architecture</t>
  </si>
  <si>
    <t>Test cases → agent adapter → policy gateway → sandbox tools → trace store → evaluators → regression gate.</t>
  </si>
  <si>
    <t>Build order</t>
  </si>
  <si>
    <t>Work through phases 01–09 for Core. Phase 10 is optional. Dependencies refer to task IDs in this sheet; independent projects need no other project to be finished. Suggested portfolio order: TrustBench, VeriSQL, ColGraph, EdgeSentinel.</t>
  </si>
  <si>
    <t>Status and evidence</t>
  </si>
  <si>
    <t>Use the status dropdown. Completed is a manual claim that every acceptance criterion passed. Paste the real report, commit or run URL in Actual evidence link. Expected evidence is a planned path, not a completed artifact.</t>
  </si>
  <si>
    <t>Readiness</t>
  </si>
  <si>
    <t>Ready means both listed dependencies are marked Completed with evidence. Waiting means a prerequisite remains open. Bad dependency means an unknown/duplicate ID. Check prerequisites flags a task completed too early.</t>
  </si>
  <si>
    <t>Blocked work</t>
  </si>
  <si>
    <t>Set Status to Blocked and record the reason plus next action in the final column. Readiness can still show Waiting if a dependency is unfinished. Unblock before continuing.</t>
  </si>
  <si>
    <t>Progress definition</t>
  </si>
  <si>
    <t>Completion uses Completed task count, not subjective partial credit. Remaining hours subtract only completed tasks. Evidence gaps count completed tasks with an empty evidence field. Verify evidence quality manually.</t>
  </si>
  <si>
    <t>Effort and dates</t>
  </si>
  <si>
    <t>Hours are rough active-work estimates, excluding unattended training, access waits and review delays. Edit estimates and hours/week. Core weeks left is remaining Core hours divided by capacity, not a promised calendar schedule. Enter your own due dates.</t>
  </si>
  <si>
    <t>Blank inputs</t>
  </si>
  <si>
    <t>Owners, deadlines, actual evidence, blockers and benchmark measurements are intentionally blank. All project tasks begin Not Started. Research plans, targets and effort estimates are proposals, never measured achievements.</t>
  </si>
  <si>
    <t>Metric entries</t>
  </si>
  <si>
    <t>Record baseline/candidate values only for matching units, splits and protocols. Delta is candidate minus baseline. Rates use one consistent decimal or percentage-point unit. Use the run link for intervals, counts and multi-value metrics.</t>
  </si>
  <si>
    <t>Acceptance versus improvement</t>
  </si>
  <si>
    <t>A research task can finish with a null/negative result if protocol, analysis and evidence are complete. Production promotion must satisfy its own frozen gates. Do not invent improvements to mark a study complete.</t>
  </si>
  <si>
    <t>Workbook maintenance</t>
  </si>
  <si>
    <t>This inventory has fixed bounded formulas. To add tasks, insert inside the inventory, update dashboard/readiness/phase ranges and validation as needed, and recheck counts. Do not insert a task into the source or metric tables.</t>
  </si>
  <si>
    <t>Master and standalone copies</t>
  </si>
  <si>
    <t>Use the four-sheet master as the source of truth or choose a standalone copy. The workbooks do not synchronize. Avoid recording progress in multiple copies.</t>
  </si>
  <si>
    <t>Source freshness</t>
  </si>
  <si>
    <t>Planning references checked on 14-Oct-2026. Main/latest docs can change. Pin versions during implementation and record access failures. A linked source supports tool/data choices, not novel performance claims.</t>
  </si>
  <si>
    <t>Research release</t>
  </si>
  <si>
    <t>Deliver a literature matrix, preregistered protocol, raw run manifests, baselines, uncertainty, ablations, failure analysis and report. Publication acceptance, patentability and top-1-percent hiring outcomes are not promised.</t>
  </si>
  <si>
    <t>Resources and hardware</t>
  </si>
  <si>
    <t>Compute route</t>
  </si>
  <si>
    <t>CPU laptop and hosted model API are a viable starting route. Set an API budget before runs. A local GPU is optional and must be profiled for the chosen model; no fixed VRAM guarantee.</t>
  </si>
  <si>
    <t>Development kit</t>
  </si>
  <si>
    <t>Git repository, Python environment, dependency lock, test runner, container runtime where supported, issue tracker and artifact directory. Pin exact versions after compatibility checks.</t>
  </si>
  <si>
    <t>Access and accounts</t>
  </si>
  <si>
    <t>Core can begin locally. Create provider/model-host accounts only if the chosen route needs them. Verify model/dataset access, licenses, rate limits and current pricing before paid jobs.</t>
  </si>
  <si>
    <t>Data and experiment storage</t>
  </si>
  <si>
    <t>Keep raw inputs immutable. Version derived datasets, split manifests, configs, seeds, logs and result tables. Use content hashes and retain failed runs.</t>
  </si>
  <si>
    <t>Budget control</t>
  </si>
  <si>
    <t>Record actual rate, currency, token/GPU-hour budget and hard stop during the pilot. No dollar/rupee price is assumed in this workbook. Estimate cost from your measured workload.</t>
  </si>
  <si>
    <t>Optional complexity</t>
  </si>
  <si>
    <t>Add graph databases, distributed queues, Kubernetes, multiple GPUs or new modalities only after a measured limitation justifies them. They are not prerequisites for the local core.</t>
  </si>
  <si>
    <t>Dataset register</t>
  </si>
  <si>
    <t>Data ID</t>
  </si>
  <si>
    <t>Dataset</t>
  </si>
  <si>
    <t>Acquisition</t>
  </si>
  <si>
    <t>Split / license / handling</t>
  </si>
  <si>
    <t>Limitations</t>
  </si>
  <si>
    <t>TB-D1</t>
  </si>
  <si>
    <t>AgentDojo selected suites</t>
  </si>
  <si>
    <t>External evaluation</t>
  </si>
  <si>
    <t>Official repository at a pinned commit</t>
  </si>
  <si>
    <t>Record license and exact suite/task IDs. Tune on separate families.</t>
  </si>
  <si>
    <t>Benchmark may require provider credentials; label all subset results.</t>
  </si>
  <si>
    <t>TB-D2</t>
  </si>
  <si>
    <t>Synthetic workflow fixtures</t>
  </si>
  <si>
    <t>Development and policy invariants</t>
  </si>
  <si>
    <t>Locally generated documents, users, tools and expected state</t>
  </si>
  <si>
    <t>No personal data. Version task templates and seed.</t>
  </si>
  <si>
    <t>Ground truth comes from state checks, not a judge model.</t>
  </si>
  <si>
    <t>TB-D3</t>
  </si>
  <si>
    <t>Local attack and failure fixtures</t>
  </si>
  <si>
    <t>Robustness holdout</t>
  </si>
  <si>
    <t>Isolated injected documents, timeouts and malformed tool outputs</t>
  </si>
  <si>
    <t>Split by attack/template family before tuning.</t>
  </si>
  <si>
    <t>These measure only the defined threat model.</t>
  </si>
  <si>
    <t>Evaluation register — measurements start blank</t>
  </si>
  <si>
    <t>Record the unit and run link before comparing values. Delta = candidate − baseline; it is not automatically a pass/fail decision.</t>
  </si>
  <si>
    <t>Metric ID</t>
  </si>
  <si>
    <t>Metric</t>
  </si>
  <si>
    <t>Definition / denominator</t>
  </si>
  <si>
    <t>Better direction</t>
  </si>
  <si>
    <t>Baseline value</t>
  </si>
  <si>
    <t>Candidate value</t>
  </si>
  <si>
    <t>Delta (formula)</t>
  </si>
  <si>
    <t>Unit</t>
  </si>
  <si>
    <t>Target (optional)</t>
  </si>
  <si>
    <t>Run / evidence link</t>
  </si>
  <si>
    <t>Protocol and acceptance guidance</t>
  </si>
  <si>
    <t>TB-M1</t>
  </si>
  <si>
    <t>Benign task completion</t>
  </si>
  <si>
    <t>Successful benign tasks / all eligible benign tasks</t>
  </si>
  <si>
    <t>Higher</t>
  </si>
  <si>
    <t>State-based checker on paired held-out tasks. Set acceptable utility loss on tuning data before holdout.</t>
  </si>
  <si>
    <t>TB-M2</t>
  </si>
  <si>
    <t>Attack success rate</t>
  </si>
  <si>
    <t>Attacker goals achieved / all eligible attack trials</t>
  </si>
  <si>
    <t>Lower</t>
  </si>
  <si>
    <t>Report per-family and overall with task-clustered intervals. Do not infer zero risk from zero observed attacks.</t>
  </si>
  <si>
    <t>TB-M3</t>
  </si>
  <si>
    <t>False-block rate</t>
  </si>
  <si>
    <t>Blocked permitted calls / all permitted attempted calls</t>
  </si>
  <si>
    <t>Use independently labeled permitted actions. Also report benign task completion to expose workflow impact.</t>
  </si>
  <si>
    <t>TB-M4</t>
  </si>
  <si>
    <t>Repeated-run all-success</t>
  </si>
  <si>
    <t>Tasks successful in every repeat / tasks with full repeat schedule</t>
  </si>
  <si>
    <t>Report repeat count, per-task frequency and missing-run count. Do not mix different repeat schedules.</t>
  </si>
  <si>
    <t>TB-M5</t>
  </si>
  <si>
    <t>Attribution accuracy</t>
  </si>
  <si>
    <t>Correct first-failure labels / reviewed labeled traces</t>
  </si>
  <si>
    <t>Human-adjudicated stratified trace sample. Judge output alone is insufficient ground truth.</t>
  </si>
  <si>
    <t>TB-M6</t>
  </si>
  <si>
    <t>End-to-end p95 latency</t>
  </si>
  <si>
    <t>95th percentile of elapsed request-to-final-outcome seconds</t>
  </si>
  <si>
    <t>Same workload, concurrency, model and retries. Report timeouts separately and include queueing.</t>
  </si>
  <si>
    <t>TB-M7</t>
  </si>
  <si>
    <t>Cost per successful task</t>
  </si>
  <si>
    <t>Total billed currency across all attempts / successes</t>
  </si>
  <si>
    <t>Provider price date plus raw token/cost ledger. If successes are zero, report undefined rather than zero.</t>
  </si>
  <si>
    <t>Research experiment inventory</t>
  </si>
  <si>
    <t>Experiment ID</t>
  </si>
  <si>
    <t>Research question</t>
  </si>
  <si>
    <t>Comparators</t>
  </si>
  <si>
    <t>Config / run IDs</t>
  </si>
  <si>
    <t>Result reference</t>
  </si>
  <si>
    <t>Decision / finding</t>
  </si>
  <si>
    <t>Compute used</t>
  </si>
  <si>
    <t>Reviewer</t>
  </si>
  <si>
    <t>Review date</t>
  </si>
  <si>
    <t>Controls and analysis</t>
  </si>
  <si>
    <t>T-E1</t>
  </si>
  <si>
    <t>Does gateway enforcement reduce attack success without excessive utility loss?</t>
  </si>
  <si>
    <t>Baseline vs schema-only vs full gateway</t>
  </si>
  <si>
    <t>Paired tasks, same model/settings and repeat schedule. Analysis: Task-clustered intervals and failure slices</t>
  </si>
  <si>
    <t>T-E2</t>
  </si>
  <si>
    <t>Which enforcement layer contributes?</t>
  </si>
  <si>
    <t>Remove provenance, capability checks or approval individually</t>
  </si>
  <si>
    <t>Same frozen holdout and resource budgets. Analysis: Ablation effects and utility/cost tradeoff</t>
  </si>
  <si>
    <t>T-E3</t>
  </si>
  <si>
    <t>Does recovery improve reliability under faults?</t>
  </si>
  <si>
    <t>No retries vs bounded retries/checkpoints</t>
  </si>
  <si>
    <t>Identical injected fault schedule. Analysis: Success, duplicates, latency and billed cost</t>
  </si>
  <si>
    <t>T-E4</t>
  </si>
  <si>
    <t>Do trace diagnoses identify real causes?</t>
  </si>
  <si>
    <t>Rule attribution vs reviewed labels; intervention as extension</t>
  </si>
  <si>
    <t>Same labeled sample and blind review. Analysis: Accuracy plus limitations of causal interpretation</t>
  </si>
  <si>
    <t>Project risks and mitigations</t>
  </si>
  <si>
    <t>Risk ID</t>
  </si>
  <si>
    <t>Risk</t>
  </si>
  <si>
    <t>Trigger / concern</t>
  </si>
  <si>
    <t>Issue reference</t>
  </si>
  <si>
    <t>Next action</t>
  </si>
  <si>
    <t>Review effort h</t>
  </si>
  <si>
    <t>Due</t>
  </si>
  <si>
    <t>Evidence</t>
  </si>
  <si>
    <t>Mitigation</t>
  </si>
  <si>
    <t>TB-R1</t>
  </si>
  <si>
    <t>Threat-model coverage</t>
  </si>
  <si>
    <t>Unknown attack families remain untested</t>
  </si>
  <si>
    <t>State supported surfaces and maintain new-family holdouts</t>
  </si>
  <si>
    <t>TB-R2</t>
  </si>
  <si>
    <t>Provider variability</t>
  </si>
  <si>
    <t>Model revisions or outages confound comparisons</t>
  </si>
  <si>
    <t>Capture version/time; pair runs and report incomplete trials</t>
  </si>
  <si>
    <t>TB-R3</t>
  </si>
  <si>
    <t>Policy bypass</t>
  </si>
  <si>
    <t>Raw client or alternate tool path bypasses gateway</t>
  </si>
  <si>
    <t>Centralize invocation and test every adapter</t>
  </si>
  <si>
    <t>TB-R4</t>
  </si>
  <si>
    <t>Spend growth</t>
  </si>
  <si>
    <t>Repeats, retries and attack variants multiply calls</t>
  </si>
  <si>
    <t>Pilot first, bound jobs and stop at budget</t>
  </si>
  <si>
    <t>Sources and verification notes</t>
  </si>
  <si>
    <t>Source ID</t>
  </si>
  <si>
    <t>Primary reference</t>
  </si>
  <si>
    <t>Use / verification limitation</t>
  </si>
  <si>
    <t>Checked on</t>
  </si>
  <si>
    <t>Pinned version</t>
  </si>
  <si>
    <t>Local access result</t>
  </si>
  <si>
    <t>License record</t>
  </si>
  <si>
    <t>Config reference</t>
  </si>
  <si>
    <t>Notes</t>
  </si>
  <si>
    <t>Source URL</t>
  </si>
  <si>
    <t>AgentDojo repository</t>
  </si>
  <si>
    <t>Benchmark setup, task/attack suites and license. Pin a commit.</t>
  </si>
  <si>
    <t>https://github.com/ethz-spylab/agentdojo</t>
  </si>
  <si>
    <t>CaMeL: Defeating Prompt Injections by Design</t>
  </si>
  <si>
    <t>Prior work on separating control and untrusted data. Compare scope; do not claim the idea as new.</t>
  </si>
  <si>
    <t>https://arxiv.org/abs/2503.18813</t>
  </si>
  <si>
    <t>LangGraph interrupts</t>
  </si>
  <si>
    <t>Durable pause/resume and node replay behavior for approval workflows.</t>
  </si>
  <si>
    <t>https://docs.langchain.com/oss/python/langgraph/interrupts</t>
  </si>
  <si>
    <t>Top: A1</t>
  </si>
  <si>
    <t>/Volumes/MHRJ/TrustBench-AI/observability/README.md; /Volumes/MHRJ/TrustBench-AI/observability/tb027-report.json; /Volumes/MHRJ/TrustBench-AI/observability/traces/; /Volumes/MHRJ/TrustBench-AI/src/observability/tracing.ts; /Volumes/MHRJ/TrustBench-AI/src/observability/run-spans.ts; /Volumes/MHRJ/TrustBench-AI/src/observability/check.ts; /Volumes/MHRJ/TrustBench-AI/scripts/verify-observability.mjs; /Volumes/MHRJ/TrustBench-AI/tests/observability.test.ts; /Volumes/MHRJ/TrustBench-AI/configs/observability.yaml; /Volumes/MHRJ/TrustBench-AI/reports/full-verify-after-tb027.log</t>
  </si>
  <si>
    <t>Completed 2026-10-16. OpenTelemetry spans (api + sdk-trace-base), JSON-lines export: one trace per arm run with agent.run root; model.call (queue.ms = pacing wait, so latency includes queueing), tool.call (retrieval-tagged, per attempt, argument SHA-256 only), policy.decision (gateway-timed audit). Every span carries run.id. Export drops non-allowlisted attributes and redacts seeded fixture secrets derived from the data files (holdout excluded). verify:observability passes on scripted and live exports (gpt-oss-20b, Gemma 4); in both live runs the undefended agent read the canary yet no span contains it. Limit: spans cover the TrustBench harness and gateway, not eve's own pilot agent runtime.</t>
  </si>
  <si>
    <t>/Volumes/MHRJ/TrustBench-AI/src/evaluation/repeats.py; /Volumes/MHRJ/TrustBench-AI/src/evaluation/README.md; /Volumes/MHRJ/TrustBench-AI/tests/evaluation/test_repeats.py; /Volumes/MHRJ/TrustBench-AI/scripts/verify-repeats.py; /Volumes/MHRJ/TrustBench-AI/evidence/tb028-order-invariance-report.json; /Volumes/MHRJ/TrustBench-AI/observability/schedules/tb028-dev-suite.json; /Volumes/MHRJ/TrustBench-AI/evidence/tb028/; /Volumes/MHRJ/TrustBench-AI/docs/repeated-runs.md; /Volumes/MHRJ/TrustBench-AI/reports/full-verify-after-tb028.log</t>
  </si>
  <si>
    <t>Completed 2026-10-16. Python + NumPy evaluator: fixed task-seed schedules (unit = task x attack variant x repetition, registered seeds, seeded order; content and order hashed separately); runner executes a schedule exactly and refuses seed mismatches. Per-cluster success frequency, all-repeats and any-repeat success, cluster-bootstrap CIs, paired defended-baseline difference by cluster, intra-cluster correlation; pooled rate shown only as contrast. Acceptance: same units executed in two orders through the real harness give identical pairing, denominators and results (evidence/tb028-order-invariance-report.json); shuffled-input and mutation tests. Live: 80/80 scheduled units on gpt-oss-20b (v4 vs baseline, 5 reps) plus 38 existing repeated-run reports in docs/repeated-runs.md. Baseline ICC 0.5-0.7 shows repeats are strongly correlated. Development split only.</t>
  </si>
  <si>
    <t>TrustBench-AI: Implementation Plan</t>
  </si>
  <si>
    <t>/Volumes/MHRJ/TrustBench-AI/reports/attribution.csv; /Volumes/MHRJ/TrustBench-AI/src/analysis/localize.py; /Volumes/MHRJ/TrustBench-AI/src/analysis/constructed.py; /Volumes/MHRJ/TrustBench-AI/configs/localization.yaml; /Volumes/MHRJ/TrustBench-AI/src/review/app.py; /Volumes/MHRJ/TrustBench-AI/reports/attribution-audit/; /Volumes/MHRJ/TrustBench-AI/data/reviews/attribution-ai-audit.jsonl; /Volumes/MHRJ/TrustBench-AI/data/reviews/attribution-audit-defects.json; /Volumes/MHRJ/TrustBench-AI/evidence/tb029-attribution-accuracy.json; /Volumes/MHRJ/TrustBench-AI/docs/attribution.md; /Volumes/MHRJ/TrustBench-AI/docs/attribution-audit.md; /Volumes/MHRJ/TrustBench-AI/protocol/amendments.md; /Volumes/MHRJ/TrustBench-AI/tests/analysis/</t>
  </si>
  <si>
    <t>Completed with a disclosed deviation (A-020): the reviewed cases are an AI audit (Claude), accepted by the project owner on 2026-10-16 in place of human review; no human has reviewed any case and no human-AI agreement is measured. Measured: localizer 1.3.0 on the final fresh audit round (44 cases) = 46/54 failed checks correct (85%, 95% Wilson 73-92%; utility 35/41, security 11/13). Constructed ground truth 149/149; mutation tests show each 1.3.0 fix is needed. Rounds 1-3 (68%, 78%, 79%) drove fixes and were never re-scored; 18 earlier labels corrected for consistency (A-021, both figures shown). Open: 4 localizer defects D1-D4 (docs/attribution.md), not fixed per A-020. No judge labels used. Rebuild: npm run attribution:build; tests: npm run test:attribution.</t>
  </si>
  <si>
    <t>/Volumes/MHRJ/TrustBench-AI/web/; /Volumes/MHRJ/TrustBench-AI/web/screenshots/; /Volumes/MHRJ/TrustBench-AI/web/DESIGN.md; /Volumes/MHRJ/TrustBench-AI/web/README.md; /Volumes/MHRJ/TrustBench-AI/web/tests/site.spec.ts; /Volumes/MHRJ/TrustBench-AI/web/src/lib/aggregate.test.ts; /Volumes/MHRJ/TrustBench-AI/app/; /Volumes/MHRJ/TrustBench-AI/configs/dashboard.yaml; /Volumes/MHRJ/TrustBench-AI/reports/dashboard/run-index.json; /Volumes/MHRJ/TrustBench-AI/scripts/export-site-data.py; /Volumes/MHRJ/TrustBench-AI/scripts/verify-dashboard.py; /Volumes/MHRJ/TrustBench-AI/evidence/tb030-dashboard-report.json; /Volumes/MHRJ/TrustBench-AI/tests/app/</t>
  </si>
  <si>
    <t>Completed. Review website (web/, Vite + React + Motion; Streamlit removed on request) over a versioned run store: 93 live reports, 4,538 runs, TB-027 spans and TB-029 attribution pinned by SHA-256 (reports/dashboard/run-index.json). Design system in web/DESIGN.md and Figma (TrustBench — Design system). Pages: overview (real trace replay, scroll-linked baseline-to-defended chart), compare (any two dimensions, any verdict), runs, run (timed or step waterfall, policy reasons, gateway audit, raw record with SHA-256 and pointer), policy, outcomes, attribution, evidence index; filters in the URL. Acceptance: npm run verify:dashboard recomputes every aggregate from raw records (642 metric cells, 605 policy rows, 265 outcome rows, 0 mismatches) and checks the export (4,538 runs, 0 record mismatches, 0 leaks); the browser's aggregation equals app/views.py cell for cell (aggregate.test.ts); Playwright on desktop, tablet and mobile: 50 passed, 1 skipped (keyboard on mobile) - console errors, overflow, two-line headings, navigation, links, evidence drawer, controls, download, focus, reduced motion. 27 screenshots in web/screenshots. Redaction: static export is always redacted, variant-aware. Limits: timing only for 180 runs since TB-027; no authentication (known issue E7).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</si>
</sst>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dd\-mmm\-yy"/>
    <numFmt numFmtId="166" formatCode="0.0000"/>
    <numFmt numFmtId="167" formatCode="dd\-mmm\-yyyy"/>
  </numFmts>
  <fonts count="8">
    <font>
      <sz val="11"/>
      <name val="Carlito"/>
    </font>
    <font>
      <sz val="10"/>
      <color rgb="FF243447"/>
      <name val="Arial"/>
      <family val="2"/>
    </font>
    <font>
      <b/>
      <sz val="16"/>
      <color rgb="FF284B63"/>
      <name val="Arial"/>
      <family val="2"/>
    </font>
    <font>
      <b/>
      <sz val="10"/>
      <color rgb="FFFFFFFF"/>
      <name val="Arial"/>
      <family val="2"/>
    </font>
    <font>
      <b/>
      <sz val="15"/>
      <color rgb="FF284B63"/>
      <name val="Arial"/>
      <family val="2"/>
    </font>
    <font>
      <sz val="10"/>
      <color rgb="FF245A9C"/>
      <name val="Arial"/>
      <family val="2"/>
    </font>
    <font>
      <b/>
      <sz val="11"/>
      <color rgb="FFFFFFFF"/>
      <name val="Arial"/>
      <family val="2"/>
    </font>
    <font>
      <b/>
      <sz val="10"/>
      <color rgb="FF243447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84B63"/>
      </patternFill>
    </fill>
    <fill>
      <patternFill patternType="solid">
        <fgColor rgb="FFF2F5F8"/>
      </patternFill>
    </fill>
    <fill>
      <patternFill patternType="solid">
        <fgColor rgb="FFFFF4D6"/>
      </patternFill>
    </fill>
  </fills>
  <borders count="4">
    <border>
      <left/>
      <right/>
      <top/>
      <bottom/>
      <diagonal/>
    </border>
    <border>
      <left/>
      <right/>
      <top/>
      <bottom style="thin">
        <color rgb="FF284B63"/>
      </bottom>
      <diagonal/>
    </border>
    <border>
      <left/>
      <right/>
      <top/>
      <bottom style="thin">
        <color rgb="FFFFFFFF"/>
      </bottom>
      <diagonal/>
    </border>
    <border>
      <left/>
      <right/>
      <top style="medium">
        <color rgb="FF284B63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3" fillId="2" borderId="2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/>
    </xf>
    <xf numFmtId="9" fontId="4" fillId="3" borderId="0" xfId="0" applyNumberFormat="1" applyFont="1" applyFill="1" applyAlignment="1">
      <alignment horizontal="center" vertical="center"/>
    </xf>
    <xf numFmtId="164" fontId="4" fillId="3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vertical="center"/>
    </xf>
    <xf numFmtId="0" fontId="5" fillId="0" borderId="0" xfId="0" applyFont="1" applyAlignment="1">
      <alignment vertical="center" wrapText="1"/>
    </xf>
    <xf numFmtId="0" fontId="1" fillId="0" borderId="0" xfId="0" applyFont="1" applyAlignment="1">
      <alignment vertical="top" wrapText="1"/>
    </xf>
    <xf numFmtId="0" fontId="1" fillId="3" borderId="0" xfId="0" applyFont="1" applyFill="1" applyAlignment="1">
      <alignment vertical="top" wrapText="1"/>
    </xf>
    <xf numFmtId="0" fontId="1" fillId="3" borderId="3" xfId="0" applyFont="1" applyFill="1" applyBorder="1" applyAlignment="1">
      <alignment vertical="top" wrapText="1"/>
    </xf>
    <xf numFmtId="0" fontId="1" fillId="4" borderId="3" xfId="0" applyFont="1" applyFill="1" applyBorder="1" applyAlignment="1">
      <alignment vertical="top" wrapText="1"/>
    </xf>
    <xf numFmtId="0" fontId="1" fillId="4" borderId="0" xfId="0" applyFont="1" applyFill="1" applyAlignment="1">
      <alignment vertical="top" wrapText="1"/>
    </xf>
    <xf numFmtId="165" fontId="1" fillId="4" borderId="3" xfId="0" applyNumberFormat="1" applyFont="1" applyFill="1" applyBorder="1" applyAlignment="1">
      <alignment vertical="top" wrapText="1"/>
    </xf>
    <xf numFmtId="165" fontId="1" fillId="4" borderId="0" xfId="0" applyNumberFormat="1" applyFont="1" applyFill="1" applyAlignment="1">
      <alignment vertical="top" wrapText="1"/>
    </xf>
    <xf numFmtId="164" fontId="1" fillId="4" borderId="3" xfId="0" applyNumberFormat="1" applyFont="1" applyFill="1" applyBorder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6" fillId="2" borderId="0" xfId="0" applyFont="1" applyFill="1" applyAlignment="1">
      <alignment vertical="center"/>
    </xf>
    <xf numFmtId="9" fontId="1" fillId="3" borderId="0" xfId="0" applyNumberFormat="1" applyFont="1" applyFill="1" applyAlignment="1">
      <alignment vertical="top" wrapText="1"/>
    </xf>
    <xf numFmtId="9" fontId="1" fillId="0" borderId="0" xfId="0" applyNumberFormat="1" applyFont="1" applyAlignment="1">
      <alignment vertical="top" wrapText="1"/>
    </xf>
    <xf numFmtId="0" fontId="7" fillId="0" borderId="0" xfId="0" applyFont="1" applyAlignment="1">
      <alignment vertical="top" wrapText="1"/>
    </xf>
    <xf numFmtId="166" fontId="1" fillId="4" borderId="0" xfId="0" applyNumberFormat="1" applyFont="1" applyFill="1" applyAlignment="1">
      <alignment vertical="top" wrapText="1"/>
    </xf>
    <xf numFmtId="166" fontId="1" fillId="3" borderId="0" xfId="0" applyNumberFormat="1" applyFont="1" applyFill="1" applyAlignment="1">
      <alignment vertical="top" wrapText="1"/>
    </xf>
    <xf numFmtId="166" fontId="1" fillId="0" borderId="0" xfId="0" applyNumberFormat="1" applyFont="1" applyAlignment="1">
      <alignment vertical="top" wrapText="1"/>
    </xf>
    <xf numFmtId="167" fontId="1" fillId="3" borderId="0" xfId="0" applyNumberFormat="1" applyFont="1" applyFill="1" applyAlignment="1">
      <alignment vertical="top" wrapText="1"/>
    </xf>
    <xf numFmtId="167" fontId="1" fillId="0" borderId="0" xfId="0" applyNumberFormat="1" applyFont="1" applyAlignment="1">
      <alignment vertical="top" wrapText="1"/>
    </xf>
    <xf numFmtId="0" fontId="5" fillId="3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7">
    <dxf>
      <font>
        <b/>
        <color rgb="FF9C2424"/>
      </font>
      <fill>
        <patternFill>
          <bgColor rgb="FFFCE5E5"/>
        </patternFill>
      </fill>
    </dxf>
    <dxf>
      <fill>
        <patternFill>
          <bgColor rgb="FFFCE5E5"/>
        </patternFill>
      </fill>
    </dxf>
    <dxf>
      <fill>
        <patternFill>
          <bgColor rgb="FFE2F1E8"/>
        </patternFill>
      </fill>
    </dxf>
    <dxf>
      <fill>
        <patternFill>
          <bgColor rgb="FFE2F1E8"/>
        </patternFill>
      </fill>
    </dxf>
    <dxf>
      <fill>
        <patternFill>
          <bgColor rgb="FFFCE5E5"/>
        </patternFill>
      </fill>
    </dxf>
    <dxf>
      <fill>
        <patternFill>
          <bgColor rgb="FFE5EFFA"/>
        </patternFill>
      </fill>
    </dxf>
    <dxf>
      <fill>
        <patternFill>
          <bgColor rgb="FFFFF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Tasks" displayName="TB_Tasks" ref="A11:U71" totalsRowShown="0">
  <autoFilter ref="A11:U71" xr:uid="{00000000-0009-0000-0100-000001000000}"/>
  <tableColumns count="21">
    <tableColumn id="1" xr3:uid="{00000000-0010-0000-0000-000001000000}" name="Task ID"/>
    <tableColumn id="2" xr3:uid="{00000000-0010-0000-0000-000002000000}" name="Phase"/>
    <tableColumn id="3" xr3:uid="{00000000-0010-0000-0000-000003000000}" name="Task / deliverable"/>
    <tableColumn id="4" xr3:uid="{00000000-0010-0000-0000-000004000000}" name="Status"/>
    <tableColumn id="5" xr3:uid="{00000000-0010-0000-0000-000005000000}" name="Dependency 1"/>
    <tableColumn id="6" xr3:uid="{00000000-0010-0000-0000-000006000000}" name="Dependency 2"/>
    <tableColumn id="7" xr3:uid="{00000000-0010-0000-0000-000007000000}" name="Readiness (formula)"/>
    <tableColumn id="8" xr3:uid="{00000000-0010-0000-0000-000008000000}" name="Estimate (hours)"/>
    <tableColumn id="9" xr3:uid="{00000000-0010-0000-0000-000009000000}" name="Owner"/>
    <tableColumn id="10" xr3:uid="{00000000-0010-0000-0000-00000A000000}" name="Due date"/>
    <tableColumn id="11" xr3:uid="{00000000-0010-0000-0000-00000B000000}" name="Implementation steps"/>
    <tableColumn id="12" xr3:uid="{00000000-0010-0000-0000-00000C000000}" name="Tools / stack"/>
    <tableColumn id="13" xr3:uid="{00000000-0010-0000-0000-00000D000000}" name="Data / inputs"/>
    <tableColumn id="14" xr3:uid="{00000000-0010-0000-0000-00000E000000}" name="Acceptance criteria"/>
    <tableColumn id="15" xr3:uid="{00000000-0010-0000-0000-00000F000000}" name="Expected evidence"/>
    <tableColumn id="16" xr3:uid="{00000000-0010-0000-0000-000010000000}" name="Risk / fallback"/>
    <tableColumn id="17" xr3:uid="{00000000-0010-0000-0000-000011000000}" name="Scope"/>
    <tableColumn id="18" xr3:uid="{00000000-0010-0000-0000-000012000000}" name="Source IDs"/>
    <tableColumn id="19" xr3:uid="{00000000-0010-0000-0000-000013000000}" name="Actual evidence link"/>
    <tableColumn id="20" xr3:uid="{00000000-0010-0000-0000-000014000000}" name="Blocker / next action"/>
    <tableColumn id="21" xr3:uid="{00000000-0010-0000-0000-000015000000}" name="Evidence present (1/0)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_Phases" displayName="TB_Phases" ref="A78:J88" totalsRowShown="0">
  <autoFilter ref="A78:J88" xr:uid="{00000000-0009-0000-0100-000002000000}"/>
  <tableColumns count="10">
    <tableColumn id="1" xr3:uid="{00000000-0010-0000-0100-000001000000}" name="Phase"/>
    <tableColumn id="2" xr3:uid="{00000000-0010-0000-0100-000002000000}" name="Tasks"/>
    <tableColumn id="3" xr3:uid="{00000000-0010-0000-0100-000003000000}" name="Completed"/>
    <tableColumn id="4" xr3:uid="{00000000-0010-0000-0100-000004000000}" name="Not Started"/>
    <tableColumn id="5" xr3:uid="{00000000-0010-0000-0100-000005000000}" name="In Progress"/>
    <tableColumn id="6" xr3:uid="{00000000-0010-0000-0100-000006000000}" name="Blocked"/>
    <tableColumn id="7" xr3:uid="{00000000-0010-0000-0100-000007000000}" name="Complete %"/>
    <tableColumn id="8" xr3:uid="{00000000-0010-0000-0100-000008000000}" name="Planned h"/>
    <tableColumn id="9" xr3:uid="{00000000-0010-0000-0100-000009000000}" name="Remaining h"/>
    <tableColumn id="10" xr3:uid="{00000000-0010-0000-0100-00000A000000}" name="Ready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_Data" displayName="TB_Data" ref="A122:G125" totalsRowShown="0">
  <autoFilter ref="A122:G125" xr:uid="{00000000-0009-0000-0100-000003000000}"/>
  <tableColumns count="7">
    <tableColumn id="1" xr3:uid="{00000000-0010-0000-0200-000001000000}" name="Data ID"/>
    <tableColumn id="2" xr3:uid="{00000000-0010-0000-0200-000002000000}" name="Dataset"/>
    <tableColumn id="3" xr3:uid="{00000000-0010-0000-0200-000003000000}" name="Purpose"/>
    <tableColumn id="4" xr3:uid="{00000000-0010-0000-0200-000004000000}" name="Source IDs"/>
    <tableColumn id="5" xr3:uid="{00000000-0010-0000-0200-000005000000}" name="Acquisition"/>
    <tableColumn id="6" xr3:uid="{00000000-0010-0000-0200-000006000000}" name="Split / license / handling"/>
    <tableColumn id="7" xr3:uid="{00000000-0010-0000-0200-000007000000}" name="Limitations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_Metrics" displayName="TB_Metrics" ref="A130:K137" totalsRowShown="0">
  <autoFilter ref="A130:K137" xr:uid="{00000000-0009-0000-0100-000004000000}"/>
  <tableColumns count="11">
    <tableColumn id="1" xr3:uid="{00000000-0010-0000-0300-000001000000}" name="Metric ID"/>
    <tableColumn id="2" xr3:uid="{00000000-0010-0000-0300-000002000000}" name="Metric"/>
    <tableColumn id="3" xr3:uid="{00000000-0010-0000-0300-000003000000}" name="Definition / denominator"/>
    <tableColumn id="4" xr3:uid="{00000000-0010-0000-0300-000004000000}" name="Better direction"/>
    <tableColumn id="5" xr3:uid="{00000000-0010-0000-0300-000005000000}" name="Baseline value"/>
    <tableColumn id="6" xr3:uid="{00000000-0010-0000-0300-000006000000}" name="Candidate value"/>
    <tableColumn id="7" xr3:uid="{00000000-0010-0000-0300-000007000000}" name="Delta (formula)"/>
    <tableColumn id="8" xr3:uid="{00000000-0010-0000-0300-000008000000}" name="Unit"/>
    <tableColumn id="9" xr3:uid="{00000000-0010-0000-0300-000009000000}" name="Target (optional)"/>
    <tableColumn id="10" xr3:uid="{00000000-0010-0000-0300-00000A000000}" name="Run / evidence link"/>
    <tableColumn id="11" xr3:uid="{00000000-0010-0000-0300-00000B000000}" name="Protocol and acceptance guidance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_Experiments" displayName="TB_Experiments" ref="A143:K147" totalsRowShown="0">
  <autoFilter ref="A143:K147" xr:uid="{00000000-0009-0000-0100-000005000000}"/>
  <tableColumns count="11">
    <tableColumn id="1" xr3:uid="{00000000-0010-0000-0400-000001000000}" name="Experiment ID"/>
    <tableColumn id="2" xr3:uid="{00000000-0010-0000-0400-000002000000}" name="Research question"/>
    <tableColumn id="3" xr3:uid="{00000000-0010-0000-0400-000003000000}" name="Comparators"/>
    <tableColumn id="4" xr3:uid="{00000000-0010-0000-0400-000004000000}" name="Status"/>
    <tableColumn id="5" xr3:uid="{00000000-0010-0000-0400-000005000000}" name="Config / run IDs"/>
    <tableColumn id="6" xr3:uid="{00000000-0010-0000-0400-000006000000}" name="Result reference"/>
    <tableColumn id="7" xr3:uid="{00000000-0010-0000-0400-000007000000}" name="Decision / finding"/>
    <tableColumn id="8" xr3:uid="{00000000-0010-0000-0400-000008000000}" name="Compute used"/>
    <tableColumn id="9" xr3:uid="{00000000-0010-0000-0400-000009000000}" name="Reviewer"/>
    <tableColumn id="10" xr3:uid="{00000000-0010-0000-0400-00000A000000}" name="Review date"/>
    <tableColumn id="11" xr3:uid="{00000000-0010-0000-0400-00000B000000}" name="Controls and analysis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_Risks" displayName="TB_Risks" ref="A152:K156" totalsRowShown="0">
  <autoFilter ref="A152:K156" xr:uid="{00000000-0009-0000-0100-000006000000}"/>
  <tableColumns count="11">
    <tableColumn id="1" xr3:uid="{00000000-0010-0000-0500-000001000000}" name="Risk ID"/>
    <tableColumn id="2" xr3:uid="{00000000-0010-0000-0500-000002000000}" name="Risk"/>
    <tableColumn id="3" xr3:uid="{00000000-0010-0000-0500-000003000000}" name="Trigger / concern"/>
    <tableColumn id="4" xr3:uid="{00000000-0010-0000-0500-000004000000}" name="Owner"/>
    <tableColumn id="5" xr3:uid="{00000000-0010-0000-0500-000005000000}" name="Status"/>
    <tableColumn id="6" xr3:uid="{00000000-0010-0000-0500-000006000000}" name="Issue reference"/>
    <tableColumn id="7" xr3:uid="{00000000-0010-0000-0500-000007000000}" name="Next action"/>
    <tableColumn id="8" xr3:uid="{00000000-0010-0000-0500-000008000000}" name="Review effort h"/>
    <tableColumn id="9" xr3:uid="{00000000-0010-0000-0500-000009000000}" name="Due"/>
    <tableColumn id="10" xr3:uid="{00000000-0010-0000-0500-00000A000000}" name="Evidence"/>
    <tableColumn id="11" xr3:uid="{00000000-0010-0000-0500-00000B000000}" name="Mitigation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_Sources" displayName="TB_Sources" ref="A161:K164" totalsRowShown="0">
  <autoFilter ref="A161:K164" xr:uid="{00000000-0009-0000-0100-000007000000}"/>
  <tableColumns count="11">
    <tableColumn id="1" xr3:uid="{00000000-0010-0000-0600-000001000000}" name="Source ID"/>
    <tableColumn id="2" xr3:uid="{00000000-0010-0000-0600-000002000000}" name="Primary reference"/>
    <tableColumn id="3" xr3:uid="{00000000-0010-0000-0600-000003000000}" name="Use / verification limitation"/>
    <tableColumn id="4" xr3:uid="{00000000-0010-0000-0600-000004000000}" name="Checked on"/>
    <tableColumn id="5" xr3:uid="{00000000-0010-0000-0600-000005000000}" name="Pinned version"/>
    <tableColumn id="6" xr3:uid="{00000000-0010-0000-0600-000006000000}" name="Local access result"/>
    <tableColumn id="7" xr3:uid="{00000000-0010-0000-0600-000007000000}" name="License record"/>
    <tableColumn id="8" xr3:uid="{00000000-0010-0000-0600-000008000000}" name="Config reference"/>
    <tableColumn id="9" xr3:uid="{00000000-0010-0000-0600-000009000000}" name="Owner"/>
    <tableColumn id="10" xr3:uid="{00000000-0010-0000-0600-00000A000000}" name="Notes"/>
    <tableColumn id="11" xr3:uid="{00000000-0010-0000-0600-00000B000000}" name="Source URL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84B63"/>
  </sheetPr>
  <dimension ref="A1:U167"/>
  <sheetViews>
    <sheetView showGridLines="0" tabSelected="1" zoomScale="115" workbookViewId="0">
      <pane xSplit="3" ySplit="11" topLeftCell="D44" activePane="bottomRight" state="frozen"/>
      <selection pane="topRight"/>
      <selection pane="bottomLeft"/>
      <selection pane="bottomRight" activeCell="I37" sqref="I37"/>
    </sheetView>
  </sheetViews>
  <sheetFormatPr baseColWidth="10" defaultColWidth="8.83203125" defaultRowHeight="14"/>
  <cols>
    <col min="1" max="1" width="12" customWidth="1"/>
    <col min="2" max="2" width="25" customWidth="1"/>
    <col min="3" max="3" width="38" customWidth="1"/>
    <col min="4" max="4" width="19" customWidth="1"/>
    <col min="5" max="6" width="13" customWidth="1"/>
    <col min="7" max="7" width="24" customWidth="1"/>
    <col min="8" max="8" width="13" customWidth="1"/>
    <col min="9" max="9" width="19" customWidth="1"/>
    <col min="10" max="10" width="16" customWidth="1"/>
    <col min="11" max="11" width="76" customWidth="1"/>
    <col min="12" max="12" width="34" customWidth="1"/>
    <col min="13" max="13" width="48" customWidth="1"/>
    <col min="14" max="14" width="70" customWidth="1"/>
    <col min="15" max="15" width="42" customWidth="1"/>
    <col min="16" max="16" width="53" customWidth="1"/>
    <col min="17" max="17" width="14" customWidth="1"/>
    <col min="18" max="18" width="20" customWidth="1"/>
    <col min="19" max="19" width="50" customWidth="1"/>
    <col min="20" max="20" width="48" customWidth="1"/>
    <col min="21" max="21" width="19" customWidth="1"/>
  </cols>
  <sheetData>
    <row r="1" spans="1:21" ht="9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29" customHeight="1">
      <c r="A2" s="2" t="s">
        <v>765</v>
      </c>
      <c r="B2" s="2"/>
      <c r="C2" s="2"/>
      <c r="D2" s="2"/>
      <c r="E2" s="2"/>
      <c r="F2" s="2"/>
      <c r="G2" s="2"/>
      <c r="H2" s="2"/>
      <c r="I2" s="2"/>
      <c r="J2" s="2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1" ht="8" customHeight="1">
      <c r="A3" s="3"/>
      <c r="B3" s="3"/>
      <c r="C3" s="3"/>
      <c r="D3" s="3"/>
      <c r="E3" s="3"/>
      <c r="F3" s="3"/>
      <c r="G3" s="3"/>
      <c r="H3" s="3"/>
      <c r="I3" s="3"/>
      <c r="J3" s="3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1" ht="32" customHeight="1">
      <c r="A4" s="4" t="s">
        <v>0</v>
      </c>
      <c r="B4" s="4" t="s">
        <v>1</v>
      </c>
      <c r="C4" s="4" t="s">
        <v>2</v>
      </c>
      <c r="D4" s="4" t="s">
        <v>3</v>
      </c>
      <c r="E4" s="4" t="s">
        <v>4</v>
      </c>
      <c r="F4" s="4" t="s">
        <v>5</v>
      </c>
      <c r="G4" s="4" t="s">
        <v>6</v>
      </c>
      <c r="H4" s="4" t="s">
        <v>7</v>
      </c>
      <c r="I4" s="4" t="s">
        <v>8</v>
      </c>
      <c r="J4" s="4" t="s">
        <v>9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1:21" ht="30" customHeight="1">
      <c r="A5" s="5">
        <f>COUNTA($A$12:$A$71)</f>
        <v>60</v>
      </c>
      <c r="B5" s="5">
        <f>COUNTIFS($D$12:$D$71,"Completed")</f>
        <v>30</v>
      </c>
      <c r="C5" s="6">
        <f>IF(A5=0,0,B5/A5)</f>
        <v>0.5</v>
      </c>
      <c r="D5" s="5">
        <f>COUNTIFS($D$12:$D$71,"Blocked")</f>
        <v>0</v>
      </c>
      <c r="E5" s="5">
        <f>SUM($H$12:$H$71)</f>
        <v>285</v>
      </c>
      <c r="F5" s="5">
        <f>SUMIFS($H$12:$H$71,$D$12:$D$71,"&lt;&gt;Completed")</f>
        <v>151</v>
      </c>
      <c r="G5" s="6">
        <f>COUNTIFS($Q$12:$Q$71,"Core",$D$12:$D$71,"Completed")/COUNTIFS($Q$12:$Q$71,"Core")</f>
        <v>0.55555555555555558</v>
      </c>
      <c r="H5" s="7">
        <f>IF(B7&gt;0,SUMIFS($H$12:$H$71,$Q$12:$Q$71,"Core",$D$12:$D$71,"&lt;&gt;Completed")/B7,"Set hours/week")</f>
        <v>8.25</v>
      </c>
      <c r="I5" s="5">
        <f ca="1">COUNTIFS($J$12:$J$71,"&gt;0",$J$12:$J$71,"&lt;"&amp;TODAY(),$D$12:$D$71,"&lt;&gt;Completed")</f>
        <v>0</v>
      </c>
      <c r="J5" s="5">
        <f>COUNTIFS($D$12:$D$71,"Completed")-COUNTIFS($D$12:$D$71,"Completed",$U$12:$U$71,1)</f>
        <v>0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21" ht="21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1:21" ht="21" customHeight="1">
      <c r="A7" s="1" t="s">
        <v>10</v>
      </c>
      <c r="B7" s="8">
        <v>12</v>
      </c>
      <c r="C7" s="1" t="s">
        <v>11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1:21" ht="32" customHeight="1">
      <c r="A8" s="9" t="s">
        <v>12</v>
      </c>
      <c r="B8" s="9" t="s">
        <v>13</v>
      </c>
      <c r="C8" s="9" t="s">
        <v>14</v>
      </c>
      <c r="D8" s="9" t="s">
        <v>15</v>
      </c>
      <c r="E8" s="9" t="s">
        <v>16</v>
      </c>
      <c r="F8" s="9" t="s">
        <v>17</v>
      </c>
      <c r="G8" s="9" t="s">
        <v>18</v>
      </c>
      <c r="H8" s="9" t="s">
        <v>19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1:21" ht="22" customHeight="1">
      <c r="A9" s="1" t="s">
        <v>20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21" ht="21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21" ht="38" customHeight="1">
      <c r="A11" s="4" t="s">
        <v>21</v>
      </c>
      <c r="B11" s="4" t="s">
        <v>22</v>
      </c>
      <c r="C11" s="4" t="s">
        <v>23</v>
      </c>
      <c r="D11" s="4" t="s">
        <v>24</v>
      </c>
      <c r="E11" s="4" t="s">
        <v>25</v>
      </c>
      <c r="F11" s="4" t="s">
        <v>26</v>
      </c>
      <c r="G11" s="4" t="s">
        <v>27</v>
      </c>
      <c r="H11" s="4" t="s">
        <v>28</v>
      </c>
      <c r="I11" s="4" t="s">
        <v>29</v>
      </c>
      <c r="J11" s="4" t="s">
        <v>30</v>
      </c>
      <c r="K11" s="4" t="s">
        <v>31</v>
      </c>
      <c r="L11" s="4" t="s">
        <v>32</v>
      </c>
      <c r="M11" s="4" t="s">
        <v>33</v>
      </c>
      <c r="N11" s="4" t="s">
        <v>34</v>
      </c>
      <c r="O11" s="4" t="s">
        <v>35</v>
      </c>
      <c r="P11" s="4" t="s">
        <v>36</v>
      </c>
      <c r="Q11" s="4" t="s">
        <v>37</v>
      </c>
      <c r="R11" s="4" t="s">
        <v>38</v>
      </c>
      <c r="S11" s="4" t="s">
        <v>39</v>
      </c>
      <c r="T11" s="4" t="s">
        <v>40</v>
      </c>
      <c r="U11" s="4" t="s">
        <v>41</v>
      </c>
    </row>
    <row r="12" spans="1:21" ht="64" customHeight="1">
      <c r="A12" s="12" t="s">
        <v>42</v>
      </c>
      <c r="B12" s="12" t="s">
        <v>43</v>
      </c>
      <c r="C12" s="12" t="s">
        <v>44</v>
      </c>
      <c r="D12" s="13" t="s">
        <v>1</v>
      </c>
      <c r="E12" s="12"/>
      <c r="F12" s="12"/>
      <c r="G12" s="12" t="str">
        <f t="shared" ref="G12:G43" si="0">IF(NOT(AND(IF(E12="",TRUE,COUNTIFS($A$12:$A$71,E12)=1),IF(F12="",TRUE,COUNTIFS($A$12:$A$71,F12)=1))),"Bad dependency",IF(NOT(AND(IF(E12="",TRUE,COUNTIFS($A$12:$A$71,E12,$D$12:$D$71,"Completed",$U$12:$U$71,1)=1),IF(F12="",TRUE,COUNTIFS($A$12:$A$71,F12,$D$12:$D$71,"Completed",$U$12:$U$71,1)=1))),IF(D12="Completed","Check prerequisites","Waiting"),IF(D12="Completed",IF(S12="","Evidence needed","Done"),IF(D12="Blocked","Blocked",IF(D12="In Progress","In Progress","Ready")))))</f>
        <v>Done</v>
      </c>
      <c r="H12" s="17">
        <v>3</v>
      </c>
      <c r="I12" s="13"/>
      <c r="J12" s="15"/>
      <c r="K12" s="12" t="s">
        <v>45</v>
      </c>
      <c r="L12" s="12" t="s">
        <v>46</v>
      </c>
      <c r="M12" s="12" t="s">
        <v>47</v>
      </c>
      <c r="N12" s="12" t="s">
        <v>48</v>
      </c>
      <c r="O12" s="12" t="s">
        <v>49</v>
      </c>
      <c r="P12" s="12" t="s">
        <v>50</v>
      </c>
      <c r="Q12" s="12" t="s">
        <v>51</v>
      </c>
      <c r="R12" s="12"/>
      <c r="S12" s="13" t="s">
        <v>52</v>
      </c>
      <c r="T12" s="13"/>
      <c r="U12" s="10">
        <f t="shared" ref="U12:U43" si="1">IF(LEN(S12)&gt;0,1,0)</f>
        <v>1</v>
      </c>
    </row>
    <row r="13" spans="1:21" ht="64" customHeight="1">
      <c r="A13" s="10" t="s">
        <v>53</v>
      </c>
      <c r="B13" s="10" t="s">
        <v>43</v>
      </c>
      <c r="C13" s="10" t="s">
        <v>54</v>
      </c>
      <c r="D13" s="14" t="s">
        <v>1</v>
      </c>
      <c r="E13" s="10" t="s">
        <v>42</v>
      </c>
      <c r="F13" s="10"/>
      <c r="G13" s="10" t="str">
        <f t="shared" si="0"/>
        <v>Done</v>
      </c>
      <c r="H13" s="18">
        <v>5</v>
      </c>
      <c r="I13" s="14"/>
      <c r="J13" s="16"/>
      <c r="K13" s="10" t="s">
        <v>55</v>
      </c>
      <c r="L13" s="10" t="s">
        <v>56</v>
      </c>
      <c r="M13" s="10" t="s">
        <v>57</v>
      </c>
      <c r="N13" s="10" t="s">
        <v>58</v>
      </c>
      <c r="O13" s="10" t="s">
        <v>59</v>
      </c>
      <c r="P13" s="10" t="s">
        <v>60</v>
      </c>
      <c r="Q13" s="10" t="s">
        <v>51</v>
      </c>
      <c r="R13" s="10" t="s">
        <v>61</v>
      </c>
      <c r="S13" s="14" t="s">
        <v>62</v>
      </c>
      <c r="T13" s="14"/>
      <c r="U13" s="10">
        <f t="shared" si="1"/>
        <v>1</v>
      </c>
    </row>
    <row r="14" spans="1:21" ht="64" customHeight="1">
      <c r="A14" s="11" t="s">
        <v>63</v>
      </c>
      <c r="B14" s="11" t="s">
        <v>43</v>
      </c>
      <c r="C14" s="11" t="s">
        <v>64</v>
      </c>
      <c r="D14" s="14" t="s">
        <v>1</v>
      </c>
      <c r="E14" s="11" t="s">
        <v>42</v>
      </c>
      <c r="F14" s="11"/>
      <c r="G14" s="11" t="str">
        <f t="shared" si="0"/>
        <v>Done</v>
      </c>
      <c r="H14" s="18">
        <v>3</v>
      </c>
      <c r="I14" s="14"/>
      <c r="J14" s="16"/>
      <c r="K14" s="11" t="s">
        <v>65</v>
      </c>
      <c r="L14" s="11" t="s">
        <v>66</v>
      </c>
      <c r="M14" s="11" t="s">
        <v>67</v>
      </c>
      <c r="N14" s="11" t="s">
        <v>68</v>
      </c>
      <c r="O14" s="11" t="s">
        <v>69</v>
      </c>
      <c r="P14" s="11" t="s">
        <v>70</v>
      </c>
      <c r="Q14" s="11" t="s">
        <v>51</v>
      </c>
      <c r="R14" s="11"/>
      <c r="S14" s="14" t="s">
        <v>71</v>
      </c>
      <c r="T14" s="14"/>
      <c r="U14" s="10">
        <f t="shared" si="1"/>
        <v>1</v>
      </c>
    </row>
    <row r="15" spans="1:21" ht="64" customHeight="1">
      <c r="A15" s="10" t="s">
        <v>72</v>
      </c>
      <c r="B15" s="10" t="s">
        <v>43</v>
      </c>
      <c r="C15" s="10" t="s">
        <v>73</v>
      </c>
      <c r="D15" s="14" t="s">
        <v>1</v>
      </c>
      <c r="E15" s="10" t="s">
        <v>53</v>
      </c>
      <c r="F15" s="10" t="s">
        <v>63</v>
      </c>
      <c r="G15" s="10" t="str">
        <f t="shared" si="0"/>
        <v>Done</v>
      </c>
      <c r="H15" s="18">
        <v>4</v>
      </c>
      <c r="I15" s="14"/>
      <c r="J15" s="16"/>
      <c r="K15" s="10" t="s">
        <v>74</v>
      </c>
      <c r="L15" s="10" t="s">
        <v>75</v>
      </c>
      <c r="M15" s="10" t="s">
        <v>76</v>
      </c>
      <c r="N15" s="10" t="s">
        <v>77</v>
      </c>
      <c r="O15" s="10" t="s">
        <v>78</v>
      </c>
      <c r="P15" s="10" t="s">
        <v>79</v>
      </c>
      <c r="Q15" s="10" t="s">
        <v>51</v>
      </c>
      <c r="R15" s="10"/>
      <c r="S15" s="14" t="s">
        <v>80</v>
      </c>
      <c r="T15" s="14"/>
      <c r="U15" s="10">
        <f t="shared" si="1"/>
        <v>1</v>
      </c>
    </row>
    <row r="16" spans="1:21" ht="64" customHeight="1">
      <c r="A16" s="11" t="s">
        <v>81</v>
      </c>
      <c r="B16" s="11" t="s">
        <v>43</v>
      </c>
      <c r="C16" s="11" t="s">
        <v>82</v>
      </c>
      <c r="D16" s="14" t="s">
        <v>1</v>
      </c>
      <c r="E16" s="11" t="s">
        <v>63</v>
      </c>
      <c r="F16" s="11"/>
      <c r="G16" s="11" t="str">
        <f t="shared" si="0"/>
        <v>Done</v>
      </c>
      <c r="H16" s="18">
        <v>2</v>
      </c>
      <c r="I16" s="14"/>
      <c r="J16" s="16"/>
      <c r="K16" s="11" t="s">
        <v>83</v>
      </c>
      <c r="L16" s="11" t="s">
        <v>84</v>
      </c>
      <c r="M16" s="11" t="s">
        <v>85</v>
      </c>
      <c r="N16" s="11" t="s">
        <v>86</v>
      </c>
      <c r="O16" s="11" t="s">
        <v>87</v>
      </c>
      <c r="P16" s="11" t="s">
        <v>88</v>
      </c>
      <c r="Q16" s="11" t="s">
        <v>51</v>
      </c>
      <c r="R16" s="11"/>
      <c r="S16" s="14" t="s">
        <v>89</v>
      </c>
      <c r="T16" s="14"/>
      <c r="U16" s="10">
        <f t="shared" si="1"/>
        <v>1</v>
      </c>
    </row>
    <row r="17" spans="1:21" ht="64" customHeight="1">
      <c r="A17" s="10" t="s">
        <v>90</v>
      </c>
      <c r="B17" s="10" t="s">
        <v>43</v>
      </c>
      <c r="C17" s="10" t="s">
        <v>91</v>
      </c>
      <c r="D17" s="14" t="s">
        <v>1</v>
      </c>
      <c r="E17" s="10" t="s">
        <v>53</v>
      </c>
      <c r="F17" s="10" t="s">
        <v>72</v>
      </c>
      <c r="G17" s="10" t="str">
        <f t="shared" si="0"/>
        <v>Done</v>
      </c>
      <c r="H17" s="18">
        <v>4</v>
      </c>
      <c r="I17" s="14"/>
      <c r="J17" s="16"/>
      <c r="K17" s="10" t="s">
        <v>92</v>
      </c>
      <c r="L17" s="10" t="s">
        <v>93</v>
      </c>
      <c r="M17" s="10" t="s">
        <v>94</v>
      </c>
      <c r="N17" s="10" t="s">
        <v>95</v>
      </c>
      <c r="O17" s="10" t="s">
        <v>96</v>
      </c>
      <c r="P17" s="10" t="s">
        <v>97</v>
      </c>
      <c r="Q17" s="10" t="s">
        <v>51</v>
      </c>
      <c r="R17" s="10"/>
      <c r="S17" s="14" t="s">
        <v>98</v>
      </c>
      <c r="T17" s="14"/>
      <c r="U17" s="10">
        <f t="shared" si="1"/>
        <v>1</v>
      </c>
    </row>
    <row r="18" spans="1:21" ht="64" customHeight="1">
      <c r="A18" s="12" t="s">
        <v>99</v>
      </c>
      <c r="B18" s="12" t="s">
        <v>100</v>
      </c>
      <c r="C18" s="12" t="s">
        <v>101</v>
      </c>
      <c r="D18" s="13" t="s">
        <v>1</v>
      </c>
      <c r="E18" s="12" t="s">
        <v>90</v>
      </c>
      <c r="F18" s="12"/>
      <c r="G18" s="12" t="str">
        <f t="shared" si="0"/>
        <v>Done</v>
      </c>
      <c r="H18" s="17">
        <v>3</v>
      </c>
      <c r="I18" s="13"/>
      <c r="J18" s="15"/>
      <c r="K18" s="12" t="s">
        <v>102</v>
      </c>
      <c r="L18" s="12" t="s">
        <v>103</v>
      </c>
      <c r="M18" s="12" t="s">
        <v>104</v>
      </c>
      <c r="N18" s="12" t="s">
        <v>105</v>
      </c>
      <c r="O18" s="12" t="s">
        <v>106</v>
      </c>
      <c r="P18" s="12" t="s">
        <v>107</v>
      </c>
      <c r="Q18" s="12" t="s">
        <v>51</v>
      </c>
      <c r="R18" s="12" t="s">
        <v>108</v>
      </c>
      <c r="S18" s="13" t="s">
        <v>109</v>
      </c>
      <c r="T18" s="13"/>
      <c r="U18" s="10">
        <f t="shared" si="1"/>
        <v>1</v>
      </c>
    </row>
    <row r="19" spans="1:21" ht="64" customHeight="1">
      <c r="A19" s="10" t="s">
        <v>110</v>
      </c>
      <c r="B19" s="10" t="s">
        <v>100</v>
      </c>
      <c r="C19" s="10" t="s">
        <v>111</v>
      </c>
      <c r="D19" s="14" t="s">
        <v>1</v>
      </c>
      <c r="E19" s="10" t="s">
        <v>99</v>
      </c>
      <c r="F19" s="10"/>
      <c r="G19" s="10" t="str">
        <f t="shared" si="0"/>
        <v>Done</v>
      </c>
      <c r="H19" s="18">
        <v>5</v>
      </c>
      <c r="I19" s="14"/>
      <c r="J19" s="16"/>
      <c r="K19" s="10" t="s">
        <v>112</v>
      </c>
      <c r="L19" s="10" t="s">
        <v>113</v>
      </c>
      <c r="M19" s="10" t="s">
        <v>114</v>
      </c>
      <c r="N19" s="10" t="s">
        <v>115</v>
      </c>
      <c r="O19" s="10" t="s">
        <v>116</v>
      </c>
      <c r="P19" s="10" t="s">
        <v>117</v>
      </c>
      <c r="Q19" s="10" t="s">
        <v>51</v>
      </c>
      <c r="R19" s="10"/>
      <c r="S19" s="14" t="s">
        <v>118</v>
      </c>
      <c r="T19" s="14"/>
      <c r="U19" s="10">
        <f t="shared" si="1"/>
        <v>1</v>
      </c>
    </row>
    <row r="20" spans="1:21" ht="64" customHeight="1">
      <c r="A20" s="11" t="s">
        <v>119</v>
      </c>
      <c r="B20" s="11" t="s">
        <v>100</v>
      </c>
      <c r="C20" s="11" t="s">
        <v>120</v>
      </c>
      <c r="D20" s="14" t="s">
        <v>1</v>
      </c>
      <c r="E20" s="11" t="s">
        <v>53</v>
      </c>
      <c r="F20" s="11" t="s">
        <v>110</v>
      </c>
      <c r="G20" s="11" t="str">
        <f t="shared" si="0"/>
        <v>Done</v>
      </c>
      <c r="H20" s="18">
        <v>5</v>
      </c>
      <c r="I20" s="14"/>
      <c r="J20" s="16"/>
      <c r="K20" s="11" t="s">
        <v>121</v>
      </c>
      <c r="L20" s="11" t="s">
        <v>122</v>
      </c>
      <c r="M20" s="11" t="s">
        <v>123</v>
      </c>
      <c r="N20" s="11" t="s">
        <v>124</v>
      </c>
      <c r="O20" s="11" t="s">
        <v>125</v>
      </c>
      <c r="P20" s="11" t="s">
        <v>126</v>
      </c>
      <c r="Q20" s="11" t="s">
        <v>51</v>
      </c>
      <c r="R20" s="11"/>
      <c r="S20" s="14" t="s">
        <v>127</v>
      </c>
      <c r="T20" s="14"/>
      <c r="U20" s="10">
        <f t="shared" si="1"/>
        <v>1</v>
      </c>
    </row>
    <row r="21" spans="1:21" ht="64" customHeight="1">
      <c r="A21" s="10" t="s">
        <v>128</v>
      </c>
      <c r="B21" s="10" t="s">
        <v>100</v>
      </c>
      <c r="C21" s="10" t="s">
        <v>129</v>
      </c>
      <c r="D21" s="14" t="s">
        <v>1</v>
      </c>
      <c r="E21" s="10" t="s">
        <v>119</v>
      </c>
      <c r="F21" s="10"/>
      <c r="G21" s="10" t="str">
        <f t="shared" si="0"/>
        <v>Done</v>
      </c>
      <c r="H21" s="18">
        <v>4</v>
      </c>
      <c r="I21" s="14"/>
      <c r="J21" s="16"/>
      <c r="K21" s="10" t="s">
        <v>130</v>
      </c>
      <c r="L21" s="10" t="s">
        <v>131</v>
      </c>
      <c r="M21" s="10" t="s">
        <v>132</v>
      </c>
      <c r="N21" s="10" t="s">
        <v>133</v>
      </c>
      <c r="O21" s="10" t="s">
        <v>134</v>
      </c>
      <c r="P21" s="10" t="s">
        <v>135</v>
      </c>
      <c r="Q21" s="10" t="s">
        <v>51</v>
      </c>
      <c r="R21" s="10"/>
      <c r="S21" s="14" t="s">
        <v>136</v>
      </c>
      <c r="T21" s="14"/>
      <c r="U21" s="10">
        <f t="shared" si="1"/>
        <v>1</v>
      </c>
    </row>
    <row r="22" spans="1:21" ht="64" customHeight="1">
      <c r="A22" s="11" t="s">
        <v>137</v>
      </c>
      <c r="B22" s="11" t="s">
        <v>100</v>
      </c>
      <c r="C22" s="11" t="s">
        <v>138</v>
      </c>
      <c r="D22" s="14" t="s">
        <v>1</v>
      </c>
      <c r="E22" s="11" t="s">
        <v>128</v>
      </c>
      <c r="F22" s="11"/>
      <c r="G22" s="11" t="str">
        <f t="shared" si="0"/>
        <v>Done</v>
      </c>
      <c r="H22" s="18">
        <v>4</v>
      </c>
      <c r="I22" s="14"/>
      <c r="J22" s="16"/>
      <c r="K22" s="11" t="s">
        <v>139</v>
      </c>
      <c r="L22" s="11" t="s">
        <v>140</v>
      </c>
      <c r="M22" s="11" t="s">
        <v>141</v>
      </c>
      <c r="N22" s="11" t="s">
        <v>142</v>
      </c>
      <c r="O22" s="11" t="s">
        <v>143</v>
      </c>
      <c r="P22" s="11" t="s">
        <v>144</v>
      </c>
      <c r="Q22" s="11" t="s">
        <v>51</v>
      </c>
      <c r="R22" s="11"/>
      <c r="S22" s="14" t="s">
        <v>145</v>
      </c>
      <c r="T22" s="14"/>
      <c r="U22" s="10">
        <f t="shared" si="1"/>
        <v>1</v>
      </c>
    </row>
    <row r="23" spans="1:21" ht="64" customHeight="1">
      <c r="A23" s="10" t="s">
        <v>146</v>
      </c>
      <c r="B23" s="10" t="s">
        <v>100</v>
      </c>
      <c r="C23" s="10" t="s">
        <v>147</v>
      </c>
      <c r="D23" s="14" t="s">
        <v>1</v>
      </c>
      <c r="E23" s="10" t="s">
        <v>137</v>
      </c>
      <c r="F23" s="10"/>
      <c r="G23" s="10" t="str">
        <f t="shared" si="0"/>
        <v>Done</v>
      </c>
      <c r="H23" s="18">
        <v>3</v>
      </c>
      <c r="I23" s="14"/>
      <c r="J23" s="16"/>
      <c r="K23" s="10" t="s">
        <v>148</v>
      </c>
      <c r="L23" s="10" t="s">
        <v>149</v>
      </c>
      <c r="M23" s="10" t="s">
        <v>150</v>
      </c>
      <c r="N23" s="10" t="s">
        <v>151</v>
      </c>
      <c r="O23" s="10" t="s">
        <v>152</v>
      </c>
      <c r="P23" s="10" t="s">
        <v>153</v>
      </c>
      <c r="Q23" s="10" t="s">
        <v>51</v>
      </c>
      <c r="R23" s="10"/>
      <c r="S23" s="14" t="s">
        <v>154</v>
      </c>
      <c r="T23" s="14"/>
      <c r="U23" s="10">
        <f t="shared" si="1"/>
        <v>1</v>
      </c>
    </row>
    <row r="24" spans="1:21" ht="64" customHeight="1">
      <c r="A24" s="12" t="s">
        <v>155</v>
      </c>
      <c r="B24" s="12" t="s">
        <v>156</v>
      </c>
      <c r="C24" s="12" t="s">
        <v>157</v>
      </c>
      <c r="D24" s="13" t="s">
        <v>1</v>
      </c>
      <c r="E24" s="12" t="s">
        <v>146</v>
      </c>
      <c r="F24" s="12"/>
      <c r="G24" s="12" t="str">
        <f t="shared" si="0"/>
        <v>Done</v>
      </c>
      <c r="H24" s="17">
        <v>4</v>
      </c>
      <c r="I24" s="13"/>
      <c r="J24" s="15"/>
      <c r="K24" s="12" t="s">
        <v>158</v>
      </c>
      <c r="L24" s="12" t="s">
        <v>159</v>
      </c>
      <c r="M24" s="12" t="s">
        <v>160</v>
      </c>
      <c r="N24" s="12" t="s">
        <v>161</v>
      </c>
      <c r="O24" s="12" t="s">
        <v>162</v>
      </c>
      <c r="P24" s="12" t="s">
        <v>163</v>
      </c>
      <c r="Q24" s="12" t="s">
        <v>51</v>
      </c>
      <c r="R24" s="12"/>
      <c r="S24" s="13" t="s">
        <v>164</v>
      </c>
      <c r="T24" s="13"/>
      <c r="U24" s="10">
        <f t="shared" si="1"/>
        <v>1</v>
      </c>
    </row>
    <row r="25" spans="1:21" ht="64" customHeight="1">
      <c r="A25" s="10" t="s">
        <v>165</v>
      </c>
      <c r="B25" s="10" t="s">
        <v>156</v>
      </c>
      <c r="C25" s="10" t="s">
        <v>166</v>
      </c>
      <c r="D25" s="14" t="s">
        <v>1</v>
      </c>
      <c r="E25" s="10" t="s">
        <v>155</v>
      </c>
      <c r="F25" s="10"/>
      <c r="G25" s="10" t="str">
        <f t="shared" si="0"/>
        <v>Done</v>
      </c>
      <c r="H25" s="18">
        <v>6</v>
      </c>
      <c r="I25" s="14"/>
      <c r="J25" s="16"/>
      <c r="K25" s="10" t="s">
        <v>167</v>
      </c>
      <c r="L25" s="10" t="s">
        <v>168</v>
      </c>
      <c r="M25" s="10" t="s">
        <v>169</v>
      </c>
      <c r="N25" s="10" t="s">
        <v>170</v>
      </c>
      <c r="O25" s="10" t="s">
        <v>171</v>
      </c>
      <c r="P25" s="10" t="s">
        <v>172</v>
      </c>
      <c r="Q25" s="10" t="s">
        <v>51</v>
      </c>
      <c r="R25" s="10"/>
      <c r="S25" s="14" t="s">
        <v>173</v>
      </c>
      <c r="T25" s="14" t="s">
        <v>174</v>
      </c>
      <c r="U25" s="10">
        <f t="shared" si="1"/>
        <v>1</v>
      </c>
    </row>
    <row r="26" spans="1:21" ht="64" customHeight="1">
      <c r="A26" s="11" t="s">
        <v>175</v>
      </c>
      <c r="B26" s="11" t="s">
        <v>156</v>
      </c>
      <c r="C26" s="11" t="s">
        <v>176</v>
      </c>
      <c r="D26" s="14" t="s">
        <v>1</v>
      </c>
      <c r="E26" s="11" t="s">
        <v>165</v>
      </c>
      <c r="F26" s="11"/>
      <c r="G26" s="11" t="str">
        <f t="shared" si="0"/>
        <v>Done</v>
      </c>
      <c r="H26" s="18">
        <v>5</v>
      </c>
      <c r="I26" s="14"/>
      <c r="J26" s="16"/>
      <c r="K26" s="11" t="s">
        <v>177</v>
      </c>
      <c r="L26" s="11" t="s">
        <v>178</v>
      </c>
      <c r="M26" s="11" t="s">
        <v>179</v>
      </c>
      <c r="N26" s="11" t="s">
        <v>180</v>
      </c>
      <c r="O26" s="11" t="s">
        <v>181</v>
      </c>
      <c r="P26" s="11" t="s">
        <v>182</v>
      </c>
      <c r="Q26" s="11" t="s">
        <v>51</v>
      </c>
      <c r="R26" s="11" t="s">
        <v>183</v>
      </c>
      <c r="S26" s="14" t="s">
        <v>184</v>
      </c>
      <c r="T26" s="14"/>
      <c r="U26" s="10">
        <f t="shared" si="1"/>
        <v>1</v>
      </c>
    </row>
    <row r="27" spans="1:21" ht="64" customHeight="1">
      <c r="A27" s="10" t="s">
        <v>185</v>
      </c>
      <c r="B27" s="10" t="s">
        <v>156</v>
      </c>
      <c r="C27" s="10" t="s">
        <v>186</v>
      </c>
      <c r="D27" s="14" t="s">
        <v>1</v>
      </c>
      <c r="E27" s="10" t="s">
        <v>175</v>
      </c>
      <c r="F27" s="10"/>
      <c r="G27" s="10" t="str">
        <f t="shared" si="0"/>
        <v>Done</v>
      </c>
      <c r="H27" s="18">
        <v>5</v>
      </c>
      <c r="I27" s="14"/>
      <c r="J27" s="16"/>
      <c r="K27" s="10" t="s">
        <v>187</v>
      </c>
      <c r="L27" s="10" t="s">
        <v>188</v>
      </c>
      <c r="M27" s="10" t="s">
        <v>189</v>
      </c>
      <c r="N27" s="10" t="s">
        <v>190</v>
      </c>
      <c r="O27" s="10" t="s">
        <v>191</v>
      </c>
      <c r="P27" s="10" t="s">
        <v>192</v>
      </c>
      <c r="Q27" s="10" t="s">
        <v>51</v>
      </c>
      <c r="R27" s="10"/>
      <c r="S27" s="14" t="s">
        <v>193</v>
      </c>
      <c r="T27" s="14" t="s">
        <v>194</v>
      </c>
      <c r="U27" s="10">
        <f t="shared" si="1"/>
        <v>1</v>
      </c>
    </row>
    <row r="28" spans="1:21" ht="64" customHeight="1">
      <c r="A28" s="11" t="s">
        <v>195</v>
      </c>
      <c r="B28" s="11" t="s">
        <v>156</v>
      </c>
      <c r="C28" s="11" t="s">
        <v>196</v>
      </c>
      <c r="D28" s="14" t="s">
        <v>1</v>
      </c>
      <c r="E28" s="11" t="s">
        <v>185</v>
      </c>
      <c r="F28" s="11" t="s">
        <v>81</v>
      </c>
      <c r="G28" s="11" t="str">
        <f t="shared" si="0"/>
        <v>Done</v>
      </c>
      <c r="H28" s="18">
        <v>4</v>
      </c>
      <c r="I28" s="14"/>
      <c r="J28" s="16"/>
      <c r="K28" s="11" t="s">
        <v>197</v>
      </c>
      <c r="L28" s="11" t="s">
        <v>198</v>
      </c>
      <c r="M28" s="11" t="s">
        <v>199</v>
      </c>
      <c r="N28" s="11" t="s">
        <v>200</v>
      </c>
      <c r="O28" s="11" t="s">
        <v>201</v>
      </c>
      <c r="P28" s="11" t="s">
        <v>202</v>
      </c>
      <c r="Q28" s="11" t="s">
        <v>51</v>
      </c>
      <c r="R28" s="11"/>
      <c r="S28" s="14" t="s">
        <v>203</v>
      </c>
      <c r="T28" s="14"/>
      <c r="U28" s="10">
        <f t="shared" si="1"/>
        <v>1</v>
      </c>
    </row>
    <row r="29" spans="1:21" ht="64" customHeight="1">
      <c r="A29" s="10" t="s">
        <v>204</v>
      </c>
      <c r="B29" s="10" t="s">
        <v>156</v>
      </c>
      <c r="C29" s="10" t="s">
        <v>205</v>
      </c>
      <c r="D29" s="14" t="s">
        <v>1</v>
      </c>
      <c r="E29" s="10" t="s">
        <v>195</v>
      </c>
      <c r="F29" s="10"/>
      <c r="G29" s="10" t="str">
        <f t="shared" si="0"/>
        <v>Done</v>
      </c>
      <c r="H29" s="18">
        <v>3</v>
      </c>
      <c r="I29" s="14"/>
      <c r="J29" s="16"/>
      <c r="K29" s="10" t="s">
        <v>206</v>
      </c>
      <c r="L29" s="10" t="s">
        <v>207</v>
      </c>
      <c r="M29" s="10" t="s">
        <v>208</v>
      </c>
      <c r="N29" s="10" t="s">
        <v>209</v>
      </c>
      <c r="O29" s="10" t="s">
        <v>210</v>
      </c>
      <c r="P29" s="10" t="s">
        <v>211</v>
      </c>
      <c r="Q29" s="10" t="s">
        <v>51</v>
      </c>
      <c r="R29" s="10"/>
      <c r="S29" s="14" t="s">
        <v>212</v>
      </c>
      <c r="T29" s="14"/>
      <c r="U29" s="10">
        <f t="shared" si="1"/>
        <v>1</v>
      </c>
    </row>
    <row r="30" spans="1:21" ht="64" customHeight="1">
      <c r="A30" s="12" t="s">
        <v>213</v>
      </c>
      <c r="B30" s="12" t="s">
        <v>214</v>
      </c>
      <c r="C30" s="12" t="s">
        <v>215</v>
      </c>
      <c r="D30" s="13" t="s">
        <v>1</v>
      </c>
      <c r="E30" s="12" t="s">
        <v>204</v>
      </c>
      <c r="F30" s="12"/>
      <c r="G30" s="12" t="str">
        <f t="shared" si="0"/>
        <v>Done</v>
      </c>
      <c r="H30" s="17">
        <v>6</v>
      </c>
      <c r="I30" s="13"/>
      <c r="J30" s="15"/>
      <c r="K30" s="12" t="s">
        <v>216</v>
      </c>
      <c r="L30" s="12" t="s">
        <v>217</v>
      </c>
      <c r="M30" s="12" t="s">
        <v>218</v>
      </c>
      <c r="N30" s="12" t="s">
        <v>219</v>
      </c>
      <c r="O30" s="12" t="s">
        <v>220</v>
      </c>
      <c r="P30" s="12" t="s">
        <v>221</v>
      </c>
      <c r="Q30" s="12" t="s">
        <v>51</v>
      </c>
      <c r="R30" s="12"/>
      <c r="S30" s="13" t="s">
        <v>222</v>
      </c>
      <c r="T30" s="13"/>
      <c r="U30" s="10">
        <f t="shared" si="1"/>
        <v>1</v>
      </c>
    </row>
    <row r="31" spans="1:21" ht="64" customHeight="1">
      <c r="A31" s="10" t="s">
        <v>223</v>
      </c>
      <c r="B31" s="10" t="s">
        <v>214</v>
      </c>
      <c r="C31" s="10" t="s">
        <v>224</v>
      </c>
      <c r="D31" s="14" t="s">
        <v>1</v>
      </c>
      <c r="E31" s="10" t="s">
        <v>213</v>
      </c>
      <c r="F31" s="10"/>
      <c r="G31" s="10" t="str">
        <f t="shared" si="0"/>
        <v>Done</v>
      </c>
      <c r="H31" s="18">
        <v>6</v>
      </c>
      <c r="I31" s="14"/>
      <c r="J31" s="16"/>
      <c r="K31" s="10" t="s">
        <v>225</v>
      </c>
      <c r="L31" s="10" t="s">
        <v>226</v>
      </c>
      <c r="M31" s="10" t="s">
        <v>227</v>
      </c>
      <c r="N31" s="10" t="s">
        <v>228</v>
      </c>
      <c r="O31" s="10" t="s">
        <v>229</v>
      </c>
      <c r="P31" s="10" t="s">
        <v>230</v>
      </c>
      <c r="Q31" s="10" t="s">
        <v>51</v>
      </c>
      <c r="R31" s="10" t="s">
        <v>231</v>
      </c>
      <c r="S31" s="14" t="s">
        <v>232</v>
      </c>
      <c r="T31" s="14"/>
      <c r="U31" s="10">
        <f t="shared" si="1"/>
        <v>1</v>
      </c>
    </row>
    <row r="32" spans="1:21" ht="64" customHeight="1">
      <c r="A32" s="11" t="s">
        <v>233</v>
      </c>
      <c r="B32" s="11" t="s">
        <v>214</v>
      </c>
      <c r="C32" s="11" t="s">
        <v>234</v>
      </c>
      <c r="D32" s="14" t="s">
        <v>1</v>
      </c>
      <c r="E32" s="11" t="s">
        <v>223</v>
      </c>
      <c r="F32" s="11"/>
      <c r="G32" s="11" t="str">
        <f t="shared" si="0"/>
        <v>Done</v>
      </c>
      <c r="H32" s="18">
        <v>7</v>
      </c>
      <c r="I32" s="14"/>
      <c r="J32" s="16"/>
      <c r="K32" s="11" t="s">
        <v>235</v>
      </c>
      <c r="L32" s="11" t="s">
        <v>236</v>
      </c>
      <c r="M32" s="11" t="s">
        <v>237</v>
      </c>
      <c r="N32" s="11" t="s">
        <v>238</v>
      </c>
      <c r="O32" s="11" t="s">
        <v>239</v>
      </c>
      <c r="P32" s="11" t="s">
        <v>240</v>
      </c>
      <c r="Q32" s="11" t="s">
        <v>51</v>
      </c>
      <c r="R32" s="11"/>
      <c r="S32" s="14" t="s">
        <v>241</v>
      </c>
      <c r="T32" s="14" t="s">
        <v>242</v>
      </c>
      <c r="U32" s="10">
        <f t="shared" si="1"/>
        <v>1</v>
      </c>
    </row>
    <row r="33" spans="1:21" ht="64" customHeight="1">
      <c r="A33" s="10" t="s">
        <v>243</v>
      </c>
      <c r="B33" s="10" t="s">
        <v>214</v>
      </c>
      <c r="C33" s="10" t="s">
        <v>244</v>
      </c>
      <c r="D33" s="14" t="s">
        <v>1</v>
      </c>
      <c r="E33" s="10" t="s">
        <v>233</v>
      </c>
      <c r="F33" s="10"/>
      <c r="G33" s="10" t="str">
        <f t="shared" si="0"/>
        <v>Done</v>
      </c>
      <c r="H33" s="18">
        <v>5</v>
      </c>
      <c r="I33" s="14"/>
      <c r="J33" s="16"/>
      <c r="K33" s="10" t="s">
        <v>245</v>
      </c>
      <c r="L33" s="10" t="s">
        <v>246</v>
      </c>
      <c r="M33" s="10" t="s">
        <v>247</v>
      </c>
      <c r="N33" s="10" t="s">
        <v>248</v>
      </c>
      <c r="O33" s="10" t="s">
        <v>249</v>
      </c>
      <c r="P33" s="10" t="s">
        <v>250</v>
      </c>
      <c r="Q33" s="10" t="s">
        <v>51</v>
      </c>
      <c r="R33" s="10" t="s">
        <v>183</v>
      </c>
      <c r="S33" s="14" t="s">
        <v>251</v>
      </c>
      <c r="T33" s="14" t="s">
        <v>252</v>
      </c>
      <c r="U33" s="10">
        <f t="shared" si="1"/>
        <v>1</v>
      </c>
    </row>
    <row r="34" spans="1:21" ht="64" customHeight="1">
      <c r="A34" s="11" t="s">
        <v>253</v>
      </c>
      <c r="B34" s="11" t="s">
        <v>214</v>
      </c>
      <c r="C34" s="11" t="s">
        <v>254</v>
      </c>
      <c r="D34" s="14" t="s">
        <v>1</v>
      </c>
      <c r="E34" s="11" t="s">
        <v>243</v>
      </c>
      <c r="F34" s="11"/>
      <c r="G34" s="11" t="str">
        <f t="shared" si="0"/>
        <v>Done</v>
      </c>
      <c r="H34" s="18">
        <v>5</v>
      </c>
      <c r="I34" s="14"/>
      <c r="J34" s="16"/>
      <c r="K34" s="11" t="s">
        <v>255</v>
      </c>
      <c r="L34" s="11" t="s">
        <v>256</v>
      </c>
      <c r="M34" s="11" t="s">
        <v>257</v>
      </c>
      <c r="N34" s="11" t="s">
        <v>258</v>
      </c>
      <c r="O34" s="11" t="s">
        <v>259</v>
      </c>
      <c r="P34" s="11" t="s">
        <v>260</v>
      </c>
      <c r="Q34" s="11" t="s">
        <v>51</v>
      </c>
      <c r="R34" s="11"/>
      <c r="S34" s="14" t="s">
        <v>261</v>
      </c>
      <c r="T34" s="14" t="s">
        <v>262</v>
      </c>
      <c r="U34" s="10">
        <f t="shared" si="1"/>
        <v>1</v>
      </c>
    </row>
    <row r="35" spans="1:21" ht="64" customHeight="1">
      <c r="A35" s="10" t="s">
        <v>263</v>
      </c>
      <c r="B35" s="10" t="s">
        <v>214</v>
      </c>
      <c r="C35" s="10" t="s">
        <v>264</v>
      </c>
      <c r="D35" s="14" t="s">
        <v>1</v>
      </c>
      <c r="E35" s="10" t="s">
        <v>253</v>
      </c>
      <c r="F35" s="10" t="s">
        <v>185</v>
      </c>
      <c r="G35" s="10" t="str">
        <f t="shared" si="0"/>
        <v>Done</v>
      </c>
      <c r="H35" s="18">
        <v>4</v>
      </c>
      <c r="I35" s="14"/>
      <c r="J35" s="16"/>
      <c r="K35" s="10" t="s">
        <v>265</v>
      </c>
      <c r="L35" s="10" t="s">
        <v>266</v>
      </c>
      <c r="M35" s="10" t="s">
        <v>267</v>
      </c>
      <c r="N35" s="10" t="s">
        <v>268</v>
      </c>
      <c r="O35" s="10" t="s">
        <v>269</v>
      </c>
      <c r="P35" s="10" t="s">
        <v>270</v>
      </c>
      <c r="Q35" s="10" t="s">
        <v>51</v>
      </c>
      <c r="R35" s="10"/>
      <c r="S35" s="14" t="s">
        <v>271</v>
      </c>
      <c r="T35" s="14" t="s">
        <v>272</v>
      </c>
      <c r="U35" s="10">
        <f t="shared" si="1"/>
        <v>1</v>
      </c>
    </row>
    <row r="36" spans="1:21" ht="64" customHeight="1">
      <c r="A36" s="12" t="s">
        <v>273</v>
      </c>
      <c r="B36" s="12" t="s">
        <v>274</v>
      </c>
      <c r="C36" s="12" t="s">
        <v>275</v>
      </c>
      <c r="D36" s="13" t="s">
        <v>1</v>
      </c>
      <c r="E36" s="12" t="s">
        <v>263</v>
      </c>
      <c r="F36" s="12"/>
      <c r="G36" s="12" t="str">
        <f t="shared" si="0"/>
        <v>Done</v>
      </c>
      <c r="H36" s="17">
        <v>5</v>
      </c>
      <c r="I36" s="13"/>
      <c r="J36" s="15"/>
      <c r="K36" s="12" t="s">
        <v>276</v>
      </c>
      <c r="L36" s="12" t="s">
        <v>277</v>
      </c>
      <c r="M36" s="12" t="s">
        <v>278</v>
      </c>
      <c r="N36" s="12" t="s">
        <v>279</v>
      </c>
      <c r="O36" s="12" t="s">
        <v>280</v>
      </c>
      <c r="P36" s="12" t="s">
        <v>281</v>
      </c>
      <c r="Q36" s="12" t="s">
        <v>51</v>
      </c>
      <c r="R36" s="12"/>
      <c r="S36" s="13" t="s">
        <v>282</v>
      </c>
      <c r="T36" s="13" t="s">
        <v>283</v>
      </c>
      <c r="U36" s="10">
        <f t="shared" si="1"/>
        <v>1</v>
      </c>
    </row>
    <row r="37" spans="1:21" ht="64" customHeight="1">
      <c r="A37" s="10" t="s">
        <v>284</v>
      </c>
      <c r="B37" s="10" t="s">
        <v>274</v>
      </c>
      <c r="C37" s="10" t="s">
        <v>285</v>
      </c>
      <c r="D37" s="14" t="s">
        <v>1</v>
      </c>
      <c r="E37" s="10" t="s">
        <v>273</v>
      </c>
      <c r="F37" s="10"/>
      <c r="G37" s="10" t="str">
        <f t="shared" si="0"/>
        <v>Done</v>
      </c>
      <c r="H37" s="18">
        <v>4</v>
      </c>
      <c r="I37" s="14"/>
      <c r="J37" s="16"/>
      <c r="K37" s="10" t="s">
        <v>286</v>
      </c>
      <c r="L37" s="10" t="s">
        <v>287</v>
      </c>
      <c r="M37" s="10" t="s">
        <v>288</v>
      </c>
      <c r="N37" s="10" t="s">
        <v>289</v>
      </c>
      <c r="O37" s="10" t="s">
        <v>290</v>
      </c>
      <c r="P37" s="10" t="s">
        <v>291</v>
      </c>
      <c r="Q37" s="10" t="s">
        <v>51</v>
      </c>
      <c r="R37" s="10"/>
      <c r="S37" s="14" t="s">
        <v>292</v>
      </c>
      <c r="T37" s="14" t="s">
        <v>293</v>
      </c>
      <c r="U37" s="10">
        <f t="shared" si="1"/>
        <v>1</v>
      </c>
    </row>
    <row r="38" spans="1:21" ht="64" customHeight="1">
      <c r="A38" s="11" t="s">
        <v>294</v>
      </c>
      <c r="B38" s="11" t="s">
        <v>274</v>
      </c>
      <c r="C38" s="11" t="s">
        <v>295</v>
      </c>
      <c r="D38" s="14" t="s">
        <v>1</v>
      </c>
      <c r="E38" s="11" t="s">
        <v>284</v>
      </c>
      <c r="F38" s="11"/>
      <c r="G38" s="11" t="str">
        <f t="shared" si="0"/>
        <v>Done</v>
      </c>
      <c r="H38" s="18">
        <v>4</v>
      </c>
      <c r="I38" s="14"/>
      <c r="J38" s="16"/>
      <c r="K38" s="11" t="s">
        <v>297</v>
      </c>
      <c r="L38" s="11" t="s">
        <v>298</v>
      </c>
      <c r="M38" s="11" t="s">
        <v>299</v>
      </c>
      <c r="N38" s="11" t="s">
        <v>300</v>
      </c>
      <c r="O38" s="11" t="s">
        <v>301</v>
      </c>
      <c r="P38" s="11" t="s">
        <v>302</v>
      </c>
      <c r="Q38" s="11" t="s">
        <v>51</v>
      </c>
      <c r="R38" s="11"/>
      <c r="S38" s="14" t="s">
        <v>761</v>
      </c>
      <c r="T38" s="14" t="s">
        <v>762</v>
      </c>
      <c r="U38" s="10">
        <f t="shared" si="1"/>
        <v>1</v>
      </c>
    </row>
    <row r="39" spans="1:21" ht="64" customHeight="1">
      <c r="A39" s="10" t="s">
        <v>303</v>
      </c>
      <c r="B39" s="10" t="s">
        <v>274</v>
      </c>
      <c r="C39" s="10" t="s">
        <v>304</v>
      </c>
      <c r="D39" s="14" t="s">
        <v>1</v>
      </c>
      <c r="E39" s="10" t="s">
        <v>294</v>
      </c>
      <c r="F39" s="10"/>
      <c r="G39" s="10" t="str">
        <f t="shared" si="0"/>
        <v>Done</v>
      </c>
      <c r="H39" s="18">
        <v>5</v>
      </c>
      <c r="I39" s="14"/>
      <c r="J39" s="16"/>
      <c r="K39" s="10" t="s">
        <v>305</v>
      </c>
      <c r="L39" s="10" t="s">
        <v>306</v>
      </c>
      <c r="M39" s="10" t="s">
        <v>307</v>
      </c>
      <c r="N39" s="10" t="s">
        <v>308</v>
      </c>
      <c r="O39" s="10" t="s">
        <v>309</v>
      </c>
      <c r="P39" s="10" t="s">
        <v>310</v>
      </c>
      <c r="Q39" s="10" t="s">
        <v>51</v>
      </c>
      <c r="R39" s="10"/>
      <c r="S39" s="14" t="s">
        <v>763</v>
      </c>
      <c r="T39" s="14" t="s">
        <v>764</v>
      </c>
      <c r="U39" s="10">
        <f t="shared" si="1"/>
        <v>1</v>
      </c>
    </row>
    <row r="40" spans="1:21" ht="64" customHeight="1">
      <c r="A40" s="11" t="s">
        <v>311</v>
      </c>
      <c r="B40" s="11" t="s">
        <v>274</v>
      </c>
      <c r="C40" s="11" t="s">
        <v>312</v>
      </c>
      <c r="D40" s="14" t="s">
        <v>1</v>
      </c>
      <c r="E40" s="11" t="s">
        <v>303</v>
      </c>
      <c r="F40" s="11"/>
      <c r="G40" s="11" t="str">
        <f t="shared" si="0"/>
        <v>Done</v>
      </c>
      <c r="H40" s="18">
        <v>6</v>
      </c>
      <c r="I40" s="14"/>
      <c r="J40" s="16"/>
      <c r="K40" s="11" t="s">
        <v>313</v>
      </c>
      <c r="L40" s="11" t="s">
        <v>314</v>
      </c>
      <c r="M40" s="11" t="s">
        <v>315</v>
      </c>
      <c r="N40" s="11" t="s">
        <v>316</v>
      </c>
      <c r="O40" s="11" t="s">
        <v>317</v>
      </c>
      <c r="P40" s="11" t="s">
        <v>318</v>
      </c>
      <c r="Q40" s="11" t="s">
        <v>51</v>
      </c>
      <c r="R40" s="11"/>
      <c r="S40" s="14" t="s">
        <v>766</v>
      </c>
      <c r="T40" s="14" t="s">
        <v>767</v>
      </c>
      <c r="U40" s="10">
        <f t="shared" si="1"/>
        <v>1</v>
      </c>
    </row>
    <row r="41" spans="1:21" ht="64" customHeight="1">
      <c r="A41" s="10" t="s">
        <v>319</v>
      </c>
      <c r="B41" s="10" t="s">
        <v>274</v>
      </c>
      <c r="C41" s="10" t="s">
        <v>320</v>
      </c>
      <c r="D41" s="14" t="s">
        <v>1</v>
      </c>
      <c r="E41" s="10" t="s">
        <v>311</v>
      </c>
      <c r="F41" s="10"/>
      <c r="G41" s="10" t="str">
        <f t="shared" si="0"/>
        <v>Done</v>
      </c>
      <c r="H41" s="18">
        <v>5</v>
      </c>
      <c r="I41" s="14"/>
      <c r="J41" s="16"/>
      <c r="K41" s="10" t="s">
        <v>321</v>
      </c>
      <c r="L41" s="10" t="s">
        <v>322</v>
      </c>
      <c r="M41" s="10" t="s">
        <v>323</v>
      </c>
      <c r="N41" s="10" t="s">
        <v>324</v>
      </c>
      <c r="O41" s="10" t="s">
        <v>325</v>
      </c>
      <c r="P41" s="10" t="s">
        <v>326</v>
      </c>
      <c r="Q41" s="10" t="s">
        <v>51</v>
      </c>
      <c r="R41" s="10"/>
      <c r="S41" s="14" t="s">
        <v>768</v>
      </c>
      <c r="T41" s="14" t="s">
        <v>769</v>
      </c>
      <c r="U41" s="10">
        <f t="shared" si="1"/>
        <v>1</v>
      </c>
    </row>
    <row r="42" spans="1:21" ht="64" customHeight="1">
      <c r="A42" s="12" t="s">
        <v>327</v>
      </c>
      <c r="B42" s="12" t="s">
        <v>328</v>
      </c>
      <c r="C42" s="12" t="s">
        <v>329</v>
      </c>
      <c r="D42" s="13" t="s">
        <v>296</v>
      </c>
      <c r="E42" s="12" t="s">
        <v>319</v>
      </c>
      <c r="F42" s="12" t="s">
        <v>90</v>
      </c>
      <c r="G42" s="12" t="str">
        <f t="shared" si="0"/>
        <v>Ready</v>
      </c>
      <c r="H42" s="17">
        <v>5</v>
      </c>
      <c r="I42" s="13"/>
      <c r="J42" s="15"/>
      <c r="K42" s="12" t="s">
        <v>330</v>
      </c>
      <c r="L42" s="12" t="s">
        <v>331</v>
      </c>
      <c r="M42" s="12" t="s">
        <v>332</v>
      </c>
      <c r="N42" s="12" t="s">
        <v>333</v>
      </c>
      <c r="O42" s="12" t="s">
        <v>334</v>
      </c>
      <c r="P42" s="12" t="s">
        <v>335</v>
      </c>
      <c r="Q42" s="12" t="s">
        <v>51</v>
      </c>
      <c r="R42" s="12"/>
      <c r="S42" s="13"/>
      <c r="T42" s="13"/>
      <c r="U42" s="10">
        <f t="shared" si="1"/>
        <v>0</v>
      </c>
    </row>
    <row r="43" spans="1:21" ht="64" customHeight="1">
      <c r="A43" s="10" t="s">
        <v>336</v>
      </c>
      <c r="B43" s="10" t="s">
        <v>328</v>
      </c>
      <c r="C43" s="10" t="s">
        <v>337</v>
      </c>
      <c r="D43" s="14" t="s">
        <v>296</v>
      </c>
      <c r="E43" s="10" t="s">
        <v>327</v>
      </c>
      <c r="F43" s="10" t="s">
        <v>128</v>
      </c>
      <c r="G43" s="10" t="str">
        <f t="shared" si="0"/>
        <v>Waiting</v>
      </c>
      <c r="H43" s="18">
        <v>8</v>
      </c>
      <c r="I43" s="14"/>
      <c r="J43" s="16"/>
      <c r="K43" s="10" t="s">
        <v>338</v>
      </c>
      <c r="L43" s="10" t="s">
        <v>339</v>
      </c>
      <c r="M43" s="10" t="s">
        <v>340</v>
      </c>
      <c r="N43" s="10" t="s">
        <v>341</v>
      </c>
      <c r="O43" s="10" t="s">
        <v>342</v>
      </c>
      <c r="P43" s="10" t="s">
        <v>343</v>
      </c>
      <c r="Q43" s="10" t="s">
        <v>51</v>
      </c>
      <c r="R43" s="10"/>
      <c r="S43" s="14"/>
      <c r="T43" s="14"/>
      <c r="U43" s="10">
        <f t="shared" si="1"/>
        <v>0</v>
      </c>
    </row>
    <row r="44" spans="1:21" ht="64" customHeight="1">
      <c r="A44" s="11" t="s">
        <v>344</v>
      </c>
      <c r="B44" s="11" t="s">
        <v>328</v>
      </c>
      <c r="C44" s="11" t="s">
        <v>345</v>
      </c>
      <c r="D44" s="14" t="s">
        <v>296</v>
      </c>
      <c r="E44" s="11" t="s">
        <v>336</v>
      </c>
      <c r="F44" s="11"/>
      <c r="G44" s="11" t="str">
        <f t="shared" ref="G44:G71" si="2">IF(NOT(AND(IF(E44="",TRUE,COUNTIFS($A$12:$A$71,E44)=1),IF(F44="",TRUE,COUNTIFS($A$12:$A$71,F44)=1))),"Bad dependency",IF(NOT(AND(IF(E44="",TRUE,COUNTIFS($A$12:$A$71,E44,$D$12:$D$71,"Completed",$U$12:$U$71,1)=1),IF(F44="",TRUE,COUNTIFS($A$12:$A$71,F44,$D$12:$D$71,"Completed",$U$12:$U$71,1)=1))),IF(D44="Completed","Check prerequisites","Waiting"),IF(D44="Completed",IF(S44="","Evidence needed","Done"),IF(D44="Blocked","Blocked",IF(D44="In Progress","In Progress","Ready")))))</f>
        <v>Waiting</v>
      </c>
      <c r="H44" s="18">
        <v>4</v>
      </c>
      <c r="I44" s="14"/>
      <c r="J44" s="16"/>
      <c r="K44" s="11" t="s">
        <v>346</v>
      </c>
      <c r="L44" s="11" t="s">
        <v>347</v>
      </c>
      <c r="M44" s="11" t="s">
        <v>348</v>
      </c>
      <c r="N44" s="11" t="s">
        <v>349</v>
      </c>
      <c r="O44" s="11" t="s">
        <v>350</v>
      </c>
      <c r="P44" s="11" t="s">
        <v>351</v>
      </c>
      <c r="Q44" s="11" t="s">
        <v>51</v>
      </c>
      <c r="R44" s="11"/>
      <c r="S44" s="14"/>
      <c r="T44" s="14"/>
      <c r="U44" s="10">
        <f t="shared" ref="U44:U71" si="3">IF(LEN(S44)&gt;0,1,0)</f>
        <v>0</v>
      </c>
    </row>
    <row r="45" spans="1:21" ht="64" customHeight="1">
      <c r="A45" s="10" t="s">
        <v>352</v>
      </c>
      <c r="B45" s="10" t="s">
        <v>328</v>
      </c>
      <c r="C45" s="10" t="s">
        <v>353</v>
      </c>
      <c r="D45" s="14" t="s">
        <v>296</v>
      </c>
      <c r="E45" s="10" t="s">
        <v>344</v>
      </c>
      <c r="F45" s="10"/>
      <c r="G45" s="10" t="str">
        <f t="shared" si="2"/>
        <v>Waiting</v>
      </c>
      <c r="H45" s="18">
        <v>5</v>
      </c>
      <c r="I45" s="14"/>
      <c r="J45" s="16"/>
      <c r="K45" s="10" t="s">
        <v>354</v>
      </c>
      <c r="L45" s="10" t="s">
        <v>355</v>
      </c>
      <c r="M45" s="10" t="s">
        <v>356</v>
      </c>
      <c r="N45" s="10" t="s">
        <v>357</v>
      </c>
      <c r="O45" s="10" t="s">
        <v>358</v>
      </c>
      <c r="P45" s="10" t="s">
        <v>359</v>
      </c>
      <c r="Q45" s="10" t="s">
        <v>51</v>
      </c>
      <c r="R45" s="10"/>
      <c r="S45" s="14"/>
      <c r="T45" s="14"/>
      <c r="U45" s="10">
        <f t="shared" si="3"/>
        <v>0</v>
      </c>
    </row>
    <row r="46" spans="1:21" ht="64" customHeight="1">
      <c r="A46" s="11" t="s">
        <v>360</v>
      </c>
      <c r="B46" s="11" t="s">
        <v>328</v>
      </c>
      <c r="C46" s="11" t="s">
        <v>361</v>
      </c>
      <c r="D46" s="14" t="s">
        <v>296</v>
      </c>
      <c r="E46" s="11" t="s">
        <v>352</v>
      </c>
      <c r="F46" s="11"/>
      <c r="G46" s="11" t="str">
        <f t="shared" si="2"/>
        <v>Waiting</v>
      </c>
      <c r="H46" s="18">
        <v>4</v>
      </c>
      <c r="I46" s="14"/>
      <c r="J46" s="16"/>
      <c r="K46" s="11" t="s">
        <v>362</v>
      </c>
      <c r="L46" s="11" t="s">
        <v>363</v>
      </c>
      <c r="M46" s="11" t="s">
        <v>364</v>
      </c>
      <c r="N46" s="11" t="s">
        <v>365</v>
      </c>
      <c r="O46" s="11" t="s">
        <v>366</v>
      </c>
      <c r="P46" s="11" t="s">
        <v>367</v>
      </c>
      <c r="Q46" s="11" t="s">
        <v>51</v>
      </c>
      <c r="R46" s="11"/>
      <c r="S46" s="14"/>
      <c r="T46" s="14"/>
      <c r="U46" s="10">
        <f t="shared" si="3"/>
        <v>0</v>
      </c>
    </row>
    <row r="47" spans="1:21" ht="64" customHeight="1">
      <c r="A47" s="10" t="s">
        <v>368</v>
      </c>
      <c r="B47" s="10" t="s">
        <v>328</v>
      </c>
      <c r="C47" s="10" t="s">
        <v>369</v>
      </c>
      <c r="D47" s="14" t="s">
        <v>296</v>
      </c>
      <c r="E47" s="10" t="s">
        <v>360</v>
      </c>
      <c r="F47" s="10"/>
      <c r="G47" s="10" t="str">
        <f t="shared" si="2"/>
        <v>Waiting</v>
      </c>
      <c r="H47" s="18">
        <v>7</v>
      </c>
      <c r="I47" s="14"/>
      <c r="J47" s="16"/>
      <c r="K47" s="10" t="s">
        <v>370</v>
      </c>
      <c r="L47" s="10" t="s">
        <v>371</v>
      </c>
      <c r="M47" s="10" t="s">
        <v>372</v>
      </c>
      <c r="N47" s="10" t="s">
        <v>373</v>
      </c>
      <c r="O47" s="10" t="s">
        <v>374</v>
      </c>
      <c r="P47" s="10" t="s">
        <v>375</v>
      </c>
      <c r="Q47" s="10" t="s">
        <v>51</v>
      </c>
      <c r="R47" s="10"/>
      <c r="S47" s="14"/>
      <c r="T47" s="14"/>
      <c r="U47" s="10">
        <f t="shared" si="3"/>
        <v>0</v>
      </c>
    </row>
    <row r="48" spans="1:21" ht="64" customHeight="1">
      <c r="A48" s="12" t="s">
        <v>376</v>
      </c>
      <c r="B48" s="12" t="s">
        <v>377</v>
      </c>
      <c r="C48" s="12" t="s">
        <v>378</v>
      </c>
      <c r="D48" s="13" t="s">
        <v>296</v>
      </c>
      <c r="E48" s="12" t="s">
        <v>368</v>
      </c>
      <c r="F48" s="12"/>
      <c r="G48" s="12" t="str">
        <f t="shared" si="2"/>
        <v>Waiting</v>
      </c>
      <c r="H48" s="17">
        <v>4</v>
      </c>
      <c r="I48" s="13"/>
      <c r="J48" s="15"/>
      <c r="K48" s="12" t="s">
        <v>379</v>
      </c>
      <c r="L48" s="12" t="s">
        <v>380</v>
      </c>
      <c r="M48" s="12" t="s">
        <v>381</v>
      </c>
      <c r="N48" s="12" t="s">
        <v>382</v>
      </c>
      <c r="O48" s="12" t="s">
        <v>383</v>
      </c>
      <c r="P48" s="12" t="s">
        <v>384</v>
      </c>
      <c r="Q48" s="12" t="s">
        <v>51</v>
      </c>
      <c r="R48" s="12"/>
      <c r="S48" s="13"/>
      <c r="T48" s="13"/>
      <c r="U48" s="10">
        <f t="shared" si="3"/>
        <v>0</v>
      </c>
    </row>
    <row r="49" spans="1:21" ht="64" customHeight="1">
      <c r="A49" s="10" t="s">
        <v>385</v>
      </c>
      <c r="B49" s="10" t="s">
        <v>377</v>
      </c>
      <c r="C49" s="10" t="s">
        <v>386</v>
      </c>
      <c r="D49" s="14" t="s">
        <v>296</v>
      </c>
      <c r="E49" s="10" t="s">
        <v>376</v>
      </c>
      <c r="F49" s="10"/>
      <c r="G49" s="10" t="str">
        <f t="shared" si="2"/>
        <v>Waiting</v>
      </c>
      <c r="H49" s="18">
        <v>5</v>
      </c>
      <c r="I49" s="14"/>
      <c r="J49" s="16"/>
      <c r="K49" s="10" t="s">
        <v>387</v>
      </c>
      <c r="L49" s="10" t="s">
        <v>388</v>
      </c>
      <c r="M49" s="10" t="s">
        <v>389</v>
      </c>
      <c r="N49" s="10" t="s">
        <v>390</v>
      </c>
      <c r="O49" s="10" t="s">
        <v>391</v>
      </c>
      <c r="P49" s="10" t="s">
        <v>392</v>
      </c>
      <c r="Q49" s="10" t="s">
        <v>51</v>
      </c>
      <c r="R49" s="10"/>
      <c r="S49" s="14"/>
      <c r="T49" s="14"/>
      <c r="U49" s="10">
        <f t="shared" si="3"/>
        <v>0</v>
      </c>
    </row>
    <row r="50" spans="1:21" ht="64" customHeight="1">
      <c r="A50" s="11" t="s">
        <v>393</v>
      </c>
      <c r="B50" s="11" t="s">
        <v>377</v>
      </c>
      <c r="C50" s="11" t="s">
        <v>394</v>
      </c>
      <c r="D50" s="14" t="s">
        <v>296</v>
      </c>
      <c r="E50" s="11" t="s">
        <v>385</v>
      </c>
      <c r="F50" s="11"/>
      <c r="G50" s="11" t="str">
        <f t="shared" si="2"/>
        <v>Waiting</v>
      </c>
      <c r="H50" s="18">
        <v>4</v>
      </c>
      <c r="I50" s="14"/>
      <c r="J50" s="16"/>
      <c r="K50" s="11" t="s">
        <v>395</v>
      </c>
      <c r="L50" s="11" t="s">
        <v>396</v>
      </c>
      <c r="M50" s="11" t="s">
        <v>397</v>
      </c>
      <c r="N50" s="11" t="s">
        <v>398</v>
      </c>
      <c r="O50" s="11" t="s">
        <v>399</v>
      </c>
      <c r="P50" s="11" t="s">
        <v>400</v>
      </c>
      <c r="Q50" s="11" t="s">
        <v>51</v>
      </c>
      <c r="R50" s="11"/>
      <c r="S50" s="14"/>
      <c r="T50" s="14"/>
      <c r="U50" s="10">
        <f t="shared" si="3"/>
        <v>0</v>
      </c>
    </row>
    <row r="51" spans="1:21" ht="64" customHeight="1">
      <c r="A51" s="10" t="s">
        <v>401</v>
      </c>
      <c r="B51" s="10" t="s">
        <v>377</v>
      </c>
      <c r="C51" s="10" t="s">
        <v>402</v>
      </c>
      <c r="D51" s="14" t="s">
        <v>296</v>
      </c>
      <c r="E51" s="10" t="s">
        <v>393</v>
      </c>
      <c r="F51" s="10"/>
      <c r="G51" s="10" t="str">
        <f t="shared" si="2"/>
        <v>Waiting</v>
      </c>
      <c r="H51" s="18">
        <v>5</v>
      </c>
      <c r="I51" s="14"/>
      <c r="J51" s="16"/>
      <c r="K51" s="10" t="s">
        <v>403</v>
      </c>
      <c r="L51" s="10" t="s">
        <v>404</v>
      </c>
      <c r="M51" s="10" t="s">
        <v>405</v>
      </c>
      <c r="N51" s="10" t="s">
        <v>406</v>
      </c>
      <c r="O51" s="10" t="s">
        <v>407</v>
      </c>
      <c r="P51" s="10" t="s">
        <v>408</v>
      </c>
      <c r="Q51" s="10" t="s">
        <v>51</v>
      </c>
      <c r="R51" s="10"/>
      <c r="S51" s="14"/>
      <c r="T51" s="14"/>
      <c r="U51" s="10">
        <f t="shared" si="3"/>
        <v>0</v>
      </c>
    </row>
    <row r="52" spans="1:21" ht="64" customHeight="1">
      <c r="A52" s="11" t="s">
        <v>409</v>
      </c>
      <c r="B52" s="11" t="s">
        <v>377</v>
      </c>
      <c r="C52" s="11" t="s">
        <v>410</v>
      </c>
      <c r="D52" s="14" t="s">
        <v>296</v>
      </c>
      <c r="E52" s="11" t="s">
        <v>401</v>
      </c>
      <c r="F52" s="11"/>
      <c r="G52" s="11" t="str">
        <f t="shared" si="2"/>
        <v>Waiting</v>
      </c>
      <c r="H52" s="18">
        <v>4</v>
      </c>
      <c r="I52" s="14"/>
      <c r="J52" s="16"/>
      <c r="K52" s="11" t="s">
        <v>411</v>
      </c>
      <c r="L52" s="11" t="s">
        <v>412</v>
      </c>
      <c r="M52" s="11" t="s">
        <v>413</v>
      </c>
      <c r="N52" s="11" t="s">
        <v>414</v>
      </c>
      <c r="O52" s="11" t="s">
        <v>415</v>
      </c>
      <c r="P52" s="11" t="s">
        <v>416</v>
      </c>
      <c r="Q52" s="11" t="s">
        <v>51</v>
      </c>
      <c r="R52" s="11"/>
      <c r="S52" s="14"/>
      <c r="T52" s="14"/>
      <c r="U52" s="10">
        <f t="shared" si="3"/>
        <v>0</v>
      </c>
    </row>
    <row r="53" spans="1:21" ht="64" customHeight="1">
      <c r="A53" s="10" t="s">
        <v>417</v>
      </c>
      <c r="B53" s="10" t="s">
        <v>377</v>
      </c>
      <c r="C53" s="10" t="s">
        <v>418</v>
      </c>
      <c r="D53" s="14" t="s">
        <v>296</v>
      </c>
      <c r="E53" s="10" t="s">
        <v>409</v>
      </c>
      <c r="F53" s="10"/>
      <c r="G53" s="10" t="str">
        <f t="shared" si="2"/>
        <v>Waiting</v>
      </c>
      <c r="H53" s="18">
        <v>3</v>
      </c>
      <c r="I53" s="14"/>
      <c r="J53" s="16"/>
      <c r="K53" s="10" t="s">
        <v>419</v>
      </c>
      <c r="L53" s="10" t="s">
        <v>420</v>
      </c>
      <c r="M53" s="10" t="s">
        <v>421</v>
      </c>
      <c r="N53" s="10" t="s">
        <v>422</v>
      </c>
      <c r="O53" s="10" t="s">
        <v>423</v>
      </c>
      <c r="P53" s="10" t="s">
        <v>424</v>
      </c>
      <c r="Q53" s="10" t="s">
        <v>51</v>
      </c>
      <c r="R53" s="10"/>
      <c r="S53" s="14"/>
      <c r="T53" s="14"/>
      <c r="U53" s="10">
        <f t="shared" si="3"/>
        <v>0</v>
      </c>
    </row>
    <row r="54" spans="1:21" ht="64" customHeight="1">
      <c r="A54" s="12" t="s">
        <v>425</v>
      </c>
      <c r="B54" s="12" t="s">
        <v>426</v>
      </c>
      <c r="C54" s="12" t="s">
        <v>427</v>
      </c>
      <c r="D54" s="13" t="s">
        <v>296</v>
      </c>
      <c r="E54" s="12" t="s">
        <v>368</v>
      </c>
      <c r="F54" s="12"/>
      <c r="G54" s="12" t="str">
        <f t="shared" si="2"/>
        <v>Waiting</v>
      </c>
      <c r="H54" s="17">
        <v>4</v>
      </c>
      <c r="I54" s="13"/>
      <c r="J54" s="15"/>
      <c r="K54" s="12" t="s">
        <v>428</v>
      </c>
      <c r="L54" s="12" t="s">
        <v>429</v>
      </c>
      <c r="M54" s="12" t="s">
        <v>430</v>
      </c>
      <c r="N54" s="12" t="s">
        <v>431</v>
      </c>
      <c r="O54" s="12" t="s">
        <v>432</v>
      </c>
      <c r="P54" s="12" t="s">
        <v>433</v>
      </c>
      <c r="Q54" s="12" t="s">
        <v>51</v>
      </c>
      <c r="R54" s="12" t="s">
        <v>61</v>
      </c>
      <c r="S54" s="13"/>
      <c r="T54" s="13"/>
      <c r="U54" s="10">
        <f t="shared" si="3"/>
        <v>0</v>
      </c>
    </row>
    <row r="55" spans="1:21" ht="64" customHeight="1">
      <c r="A55" s="10" t="s">
        <v>434</v>
      </c>
      <c r="B55" s="10" t="s">
        <v>426</v>
      </c>
      <c r="C55" s="10" t="s">
        <v>435</v>
      </c>
      <c r="D55" s="14" t="s">
        <v>296</v>
      </c>
      <c r="E55" s="10" t="s">
        <v>425</v>
      </c>
      <c r="F55" s="10"/>
      <c r="G55" s="10" t="str">
        <f t="shared" si="2"/>
        <v>Waiting</v>
      </c>
      <c r="H55" s="18">
        <v>5</v>
      </c>
      <c r="I55" s="14"/>
      <c r="J55" s="16"/>
      <c r="K55" s="10" t="s">
        <v>436</v>
      </c>
      <c r="L55" s="10" t="s">
        <v>437</v>
      </c>
      <c r="M55" s="10" t="s">
        <v>438</v>
      </c>
      <c r="N55" s="10" t="s">
        <v>439</v>
      </c>
      <c r="O55" s="10" t="s">
        <v>440</v>
      </c>
      <c r="P55" s="10" t="s">
        <v>441</v>
      </c>
      <c r="Q55" s="10" t="s">
        <v>51</v>
      </c>
      <c r="R55" s="10"/>
      <c r="S55" s="14"/>
      <c r="T55" s="14"/>
      <c r="U55" s="10">
        <f t="shared" si="3"/>
        <v>0</v>
      </c>
    </row>
    <row r="56" spans="1:21" ht="64" customHeight="1">
      <c r="A56" s="11" t="s">
        <v>442</v>
      </c>
      <c r="B56" s="11" t="s">
        <v>426</v>
      </c>
      <c r="C56" s="11" t="s">
        <v>443</v>
      </c>
      <c r="D56" s="14" t="s">
        <v>296</v>
      </c>
      <c r="E56" s="11" t="s">
        <v>434</v>
      </c>
      <c r="F56" s="11"/>
      <c r="G56" s="11" t="str">
        <f t="shared" si="2"/>
        <v>Waiting</v>
      </c>
      <c r="H56" s="18">
        <v>4</v>
      </c>
      <c r="I56" s="14"/>
      <c r="J56" s="16"/>
      <c r="K56" s="11" t="s">
        <v>444</v>
      </c>
      <c r="L56" s="11" t="s">
        <v>445</v>
      </c>
      <c r="M56" s="11" t="s">
        <v>446</v>
      </c>
      <c r="N56" s="11" t="s">
        <v>447</v>
      </c>
      <c r="O56" s="11" t="s">
        <v>448</v>
      </c>
      <c r="P56" s="11" t="s">
        <v>449</v>
      </c>
      <c r="Q56" s="11" t="s">
        <v>51</v>
      </c>
      <c r="R56" s="11"/>
      <c r="S56" s="14"/>
      <c r="T56" s="14"/>
      <c r="U56" s="10">
        <f t="shared" si="3"/>
        <v>0</v>
      </c>
    </row>
    <row r="57" spans="1:21" ht="64" customHeight="1">
      <c r="A57" s="10" t="s">
        <v>450</v>
      </c>
      <c r="B57" s="10" t="s">
        <v>426</v>
      </c>
      <c r="C57" s="10" t="s">
        <v>451</v>
      </c>
      <c r="D57" s="14" t="s">
        <v>296</v>
      </c>
      <c r="E57" s="10" t="s">
        <v>442</v>
      </c>
      <c r="F57" s="10"/>
      <c r="G57" s="10" t="str">
        <f t="shared" si="2"/>
        <v>Waiting</v>
      </c>
      <c r="H57" s="18">
        <v>4</v>
      </c>
      <c r="I57" s="14"/>
      <c r="J57" s="16"/>
      <c r="K57" s="10" t="s">
        <v>452</v>
      </c>
      <c r="L57" s="10" t="s">
        <v>453</v>
      </c>
      <c r="M57" s="10" t="s">
        <v>454</v>
      </c>
      <c r="N57" s="10" t="s">
        <v>455</v>
      </c>
      <c r="O57" s="10" t="s">
        <v>456</v>
      </c>
      <c r="P57" s="10" t="s">
        <v>457</v>
      </c>
      <c r="Q57" s="10" t="s">
        <v>51</v>
      </c>
      <c r="R57" s="10"/>
      <c r="S57" s="14"/>
      <c r="T57" s="14"/>
      <c r="U57" s="10">
        <f t="shared" si="3"/>
        <v>0</v>
      </c>
    </row>
    <row r="58" spans="1:21" ht="64" customHeight="1">
      <c r="A58" s="11" t="s">
        <v>458</v>
      </c>
      <c r="B58" s="11" t="s">
        <v>426</v>
      </c>
      <c r="C58" s="11" t="s">
        <v>459</v>
      </c>
      <c r="D58" s="14" t="s">
        <v>296</v>
      </c>
      <c r="E58" s="11" t="s">
        <v>450</v>
      </c>
      <c r="F58" s="11"/>
      <c r="G58" s="11" t="str">
        <f t="shared" si="2"/>
        <v>Waiting</v>
      </c>
      <c r="H58" s="18">
        <v>5</v>
      </c>
      <c r="I58" s="14"/>
      <c r="J58" s="16"/>
      <c r="K58" s="11" t="s">
        <v>460</v>
      </c>
      <c r="L58" s="11" t="s">
        <v>461</v>
      </c>
      <c r="M58" s="11" t="s">
        <v>462</v>
      </c>
      <c r="N58" s="11" t="s">
        <v>463</v>
      </c>
      <c r="O58" s="11" t="s">
        <v>464</v>
      </c>
      <c r="P58" s="11" t="s">
        <v>465</v>
      </c>
      <c r="Q58" s="11" t="s">
        <v>51</v>
      </c>
      <c r="R58" s="11"/>
      <c r="S58" s="14"/>
      <c r="T58" s="14"/>
      <c r="U58" s="10">
        <f t="shared" si="3"/>
        <v>0</v>
      </c>
    </row>
    <row r="59" spans="1:21" ht="64" customHeight="1">
      <c r="A59" s="10" t="s">
        <v>466</v>
      </c>
      <c r="B59" s="10" t="s">
        <v>426</v>
      </c>
      <c r="C59" s="10" t="s">
        <v>467</v>
      </c>
      <c r="D59" s="14" t="s">
        <v>296</v>
      </c>
      <c r="E59" s="10" t="s">
        <v>458</v>
      </c>
      <c r="F59" s="10"/>
      <c r="G59" s="10" t="str">
        <f t="shared" si="2"/>
        <v>Waiting</v>
      </c>
      <c r="H59" s="18">
        <v>3</v>
      </c>
      <c r="I59" s="14"/>
      <c r="J59" s="16"/>
      <c r="K59" s="10" t="s">
        <v>468</v>
      </c>
      <c r="L59" s="10" t="s">
        <v>469</v>
      </c>
      <c r="M59" s="10" t="s">
        <v>470</v>
      </c>
      <c r="N59" s="10" t="s">
        <v>471</v>
      </c>
      <c r="O59" s="10" t="s">
        <v>472</v>
      </c>
      <c r="P59" s="10" t="s">
        <v>473</v>
      </c>
      <c r="Q59" s="10" t="s">
        <v>51</v>
      </c>
      <c r="R59" s="10"/>
      <c r="S59" s="14"/>
      <c r="T59" s="14"/>
      <c r="U59" s="10">
        <f t="shared" si="3"/>
        <v>0</v>
      </c>
    </row>
    <row r="60" spans="1:21" ht="64" customHeight="1">
      <c r="A60" s="12" t="s">
        <v>474</v>
      </c>
      <c r="B60" s="12" t="s">
        <v>475</v>
      </c>
      <c r="C60" s="12" t="s">
        <v>476</v>
      </c>
      <c r="D60" s="13" t="s">
        <v>296</v>
      </c>
      <c r="E60" s="12" t="s">
        <v>417</v>
      </c>
      <c r="F60" s="12" t="s">
        <v>466</v>
      </c>
      <c r="G60" s="12" t="str">
        <f t="shared" si="2"/>
        <v>Waiting</v>
      </c>
      <c r="H60" s="17">
        <v>3</v>
      </c>
      <c r="I60" s="13"/>
      <c r="J60" s="15"/>
      <c r="K60" s="12" t="s">
        <v>477</v>
      </c>
      <c r="L60" s="12" t="s">
        <v>478</v>
      </c>
      <c r="M60" s="12" t="s">
        <v>479</v>
      </c>
      <c r="N60" s="12" t="s">
        <v>480</v>
      </c>
      <c r="O60" s="12" t="s">
        <v>481</v>
      </c>
      <c r="P60" s="12" t="s">
        <v>482</v>
      </c>
      <c r="Q60" s="12" t="s">
        <v>51</v>
      </c>
      <c r="R60" s="12"/>
      <c r="S60" s="13"/>
      <c r="T60" s="13"/>
      <c r="U60" s="10">
        <f t="shared" si="3"/>
        <v>0</v>
      </c>
    </row>
    <row r="61" spans="1:21" ht="64" customHeight="1">
      <c r="A61" s="10" t="s">
        <v>483</v>
      </c>
      <c r="B61" s="10" t="s">
        <v>475</v>
      </c>
      <c r="C61" s="10" t="s">
        <v>484</v>
      </c>
      <c r="D61" s="14" t="s">
        <v>296</v>
      </c>
      <c r="E61" s="10" t="s">
        <v>474</v>
      </c>
      <c r="F61" s="10"/>
      <c r="G61" s="10" t="str">
        <f t="shared" si="2"/>
        <v>Waiting</v>
      </c>
      <c r="H61" s="18">
        <v>3</v>
      </c>
      <c r="I61" s="14"/>
      <c r="J61" s="16"/>
      <c r="K61" s="10" t="s">
        <v>485</v>
      </c>
      <c r="L61" s="10" t="s">
        <v>486</v>
      </c>
      <c r="M61" s="10" t="s">
        <v>487</v>
      </c>
      <c r="N61" s="10" t="s">
        <v>488</v>
      </c>
      <c r="O61" s="10" t="s">
        <v>489</v>
      </c>
      <c r="P61" s="10" t="s">
        <v>490</v>
      </c>
      <c r="Q61" s="10" t="s">
        <v>51</v>
      </c>
      <c r="R61" s="10"/>
      <c r="S61" s="14"/>
      <c r="T61" s="14"/>
      <c r="U61" s="10">
        <f t="shared" si="3"/>
        <v>0</v>
      </c>
    </row>
    <row r="62" spans="1:21" ht="64" customHeight="1">
      <c r="A62" s="11" t="s">
        <v>491</v>
      </c>
      <c r="B62" s="11" t="s">
        <v>475</v>
      </c>
      <c r="C62" s="11" t="s">
        <v>492</v>
      </c>
      <c r="D62" s="14" t="s">
        <v>296</v>
      </c>
      <c r="E62" s="11" t="s">
        <v>483</v>
      </c>
      <c r="F62" s="11"/>
      <c r="G62" s="11" t="str">
        <f t="shared" si="2"/>
        <v>Waiting</v>
      </c>
      <c r="H62" s="18">
        <v>4</v>
      </c>
      <c r="I62" s="14"/>
      <c r="J62" s="16"/>
      <c r="K62" s="11" t="s">
        <v>493</v>
      </c>
      <c r="L62" s="11" t="s">
        <v>494</v>
      </c>
      <c r="M62" s="11" t="s">
        <v>495</v>
      </c>
      <c r="N62" s="11" t="s">
        <v>496</v>
      </c>
      <c r="O62" s="11" t="s">
        <v>497</v>
      </c>
      <c r="P62" s="11" t="s">
        <v>498</v>
      </c>
      <c r="Q62" s="11" t="s">
        <v>51</v>
      </c>
      <c r="R62" s="11"/>
      <c r="S62" s="14"/>
      <c r="T62" s="14"/>
      <c r="U62" s="10">
        <f t="shared" si="3"/>
        <v>0</v>
      </c>
    </row>
    <row r="63" spans="1:21" ht="64" customHeight="1">
      <c r="A63" s="10" t="s">
        <v>499</v>
      </c>
      <c r="B63" s="10" t="s">
        <v>475</v>
      </c>
      <c r="C63" s="10" t="s">
        <v>500</v>
      </c>
      <c r="D63" s="14" t="s">
        <v>296</v>
      </c>
      <c r="E63" s="10" t="s">
        <v>491</v>
      </c>
      <c r="F63" s="10"/>
      <c r="G63" s="10" t="str">
        <f t="shared" si="2"/>
        <v>Waiting</v>
      </c>
      <c r="H63" s="18">
        <v>2</v>
      </c>
      <c r="I63" s="14"/>
      <c r="J63" s="16"/>
      <c r="K63" s="10" t="s">
        <v>501</v>
      </c>
      <c r="L63" s="10" t="s">
        <v>502</v>
      </c>
      <c r="M63" s="10" t="s">
        <v>503</v>
      </c>
      <c r="N63" s="10" t="s">
        <v>504</v>
      </c>
      <c r="O63" s="10" t="s">
        <v>505</v>
      </c>
      <c r="P63" s="10" t="s">
        <v>506</v>
      </c>
      <c r="Q63" s="10" t="s">
        <v>51</v>
      </c>
      <c r="R63" s="10"/>
      <c r="S63" s="14"/>
      <c r="T63" s="14"/>
      <c r="U63" s="10">
        <f t="shared" si="3"/>
        <v>0</v>
      </c>
    </row>
    <row r="64" spans="1:21" ht="64" customHeight="1">
      <c r="A64" s="11" t="s">
        <v>507</v>
      </c>
      <c r="B64" s="11" t="s">
        <v>475</v>
      </c>
      <c r="C64" s="11" t="s">
        <v>508</v>
      </c>
      <c r="D64" s="14" t="s">
        <v>296</v>
      </c>
      <c r="E64" s="11" t="s">
        <v>499</v>
      </c>
      <c r="F64" s="11"/>
      <c r="G64" s="11" t="str">
        <f t="shared" si="2"/>
        <v>Waiting</v>
      </c>
      <c r="H64" s="18">
        <v>2</v>
      </c>
      <c r="I64" s="14"/>
      <c r="J64" s="16"/>
      <c r="K64" s="11" t="s">
        <v>509</v>
      </c>
      <c r="L64" s="11" t="s">
        <v>510</v>
      </c>
      <c r="M64" s="11" t="s">
        <v>511</v>
      </c>
      <c r="N64" s="11" t="s">
        <v>512</v>
      </c>
      <c r="O64" s="11" t="s">
        <v>513</v>
      </c>
      <c r="P64" s="11" t="s">
        <v>514</v>
      </c>
      <c r="Q64" s="11" t="s">
        <v>51</v>
      </c>
      <c r="R64" s="11"/>
      <c r="S64" s="14"/>
      <c r="T64" s="14"/>
      <c r="U64" s="10">
        <f t="shared" si="3"/>
        <v>0</v>
      </c>
    </row>
    <row r="65" spans="1:21" ht="64" customHeight="1">
      <c r="A65" s="10" t="s">
        <v>515</v>
      </c>
      <c r="B65" s="10" t="s">
        <v>475</v>
      </c>
      <c r="C65" s="10" t="s">
        <v>516</v>
      </c>
      <c r="D65" s="14" t="s">
        <v>296</v>
      </c>
      <c r="E65" s="10" t="s">
        <v>507</v>
      </c>
      <c r="F65" s="10"/>
      <c r="G65" s="10" t="str">
        <f t="shared" si="2"/>
        <v>Waiting</v>
      </c>
      <c r="H65" s="18">
        <v>2</v>
      </c>
      <c r="I65" s="14"/>
      <c r="J65" s="16"/>
      <c r="K65" s="10" t="s">
        <v>517</v>
      </c>
      <c r="L65" s="10" t="s">
        <v>518</v>
      </c>
      <c r="M65" s="10" t="s">
        <v>519</v>
      </c>
      <c r="N65" s="10" t="s">
        <v>520</v>
      </c>
      <c r="O65" s="10" t="s">
        <v>521</v>
      </c>
      <c r="P65" s="10" t="s">
        <v>522</v>
      </c>
      <c r="Q65" s="10" t="s">
        <v>51</v>
      </c>
      <c r="R65" s="10"/>
      <c r="S65" s="14"/>
      <c r="T65" s="14"/>
      <c r="U65" s="10">
        <f t="shared" si="3"/>
        <v>0</v>
      </c>
    </row>
    <row r="66" spans="1:21" ht="64" customHeight="1">
      <c r="A66" s="12" t="s">
        <v>523</v>
      </c>
      <c r="B66" s="12" t="s">
        <v>524</v>
      </c>
      <c r="C66" s="12" t="s">
        <v>525</v>
      </c>
      <c r="D66" s="13" t="s">
        <v>296</v>
      </c>
      <c r="E66" s="12" t="s">
        <v>515</v>
      </c>
      <c r="F66" s="12"/>
      <c r="G66" s="12" t="str">
        <f t="shared" si="2"/>
        <v>Waiting</v>
      </c>
      <c r="H66" s="17">
        <v>8</v>
      </c>
      <c r="I66" s="13"/>
      <c r="J66" s="15"/>
      <c r="K66" s="12" t="s">
        <v>526</v>
      </c>
      <c r="L66" s="12" t="s">
        <v>527</v>
      </c>
      <c r="M66" s="12" t="s">
        <v>528</v>
      </c>
      <c r="N66" s="12" t="s">
        <v>529</v>
      </c>
      <c r="O66" s="12" t="s">
        <v>530</v>
      </c>
      <c r="P66" s="12" t="s">
        <v>531</v>
      </c>
      <c r="Q66" s="12" t="s">
        <v>532</v>
      </c>
      <c r="R66" s="12"/>
      <c r="S66" s="13"/>
      <c r="T66" s="13"/>
      <c r="U66" s="10">
        <f t="shared" si="3"/>
        <v>0</v>
      </c>
    </row>
    <row r="67" spans="1:21" ht="64" customHeight="1">
      <c r="A67" s="10" t="s">
        <v>533</v>
      </c>
      <c r="B67" s="10" t="s">
        <v>524</v>
      </c>
      <c r="C67" s="10" t="s">
        <v>534</v>
      </c>
      <c r="D67" s="14" t="s">
        <v>296</v>
      </c>
      <c r="E67" s="10" t="s">
        <v>515</v>
      </c>
      <c r="F67" s="10"/>
      <c r="G67" s="10" t="str">
        <f t="shared" si="2"/>
        <v>Waiting</v>
      </c>
      <c r="H67" s="18">
        <v>12</v>
      </c>
      <c r="I67" s="14"/>
      <c r="J67" s="16"/>
      <c r="K67" s="10" t="s">
        <v>535</v>
      </c>
      <c r="L67" s="10" t="s">
        <v>536</v>
      </c>
      <c r="M67" s="10" t="s">
        <v>537</v>
      </c>
      <c r="N67" s="10" t="s">
        <v>538</v>
      </c>
      <c r="O67" s="10" t="s">
        <v>539</v>
      </c>
      <c r="P67" s="10" t="s">
        <v>540</v>
      </c>
      <c r="Q67" s="10" t="s">
        <v>532</v>
      </c>
      <c r="R67" s="10"/>
      <c r="S67" s="14"/>
      <c r="T67" s="14"/>
      <c r="U67" s="10">
        <f t="shared" si="3"/>
        <v>0</v>
      </c>
    </row>
    <row r="68" spans="1:21" ht="64" customHeight="1">
      <c r="A68" s="11" t="s">
        <v>541</v>
      </c>
      <c r="B68" s="11" t="s">
        <v>524</v>
      </c>
      <c r="C68" s="11" t="s">
        <v>542</v>
      </c>
      <c r="D68" s="14" t="s">
        <v>296</v>
      </c>
      <c r="E68" s="11" t="s">
        <v>515</v>
      </c>
      <c r="F68" s="11"/>
      <c r="G68" s="11" t="str">
        <f t="shared" si="2"/>
        <v>Waiting</v>
      </c>
      <c r="H68" s="18">
        <v>8</v>
      </c>
      <c r="I68" s="14"/>
      <c r="J68" s="16"/>
      <c r="K68" s="11" t="s">
        <v>543</v>
      </c>
      <c r="L68" s="11" t="s">
        <v>544</v>
      </c>
      <c r="M68" s="11" t="s">
        <v>545</v>
      </c>
      <c r="N68" s="11" t="s">
        <v>546</v>
      </c>
      <c r="O68" s="11" t="s">
        <v>547</v>
      </c>
      <c r="P68" s="11" t="s">
        <v>548</v>
      </c>
      <c r="Q68" s="11" t="s">
        <v>532</v>
      </c>
      <c r="R68" s="11"/>
      <c r="S68" s="14"/>
      <c r="T68" s="14"/>
      <c r="U68" s="10">
        <f t="shared" si="3"/>
        <v>0</v>
      </c>
    </row>
    <row r="69" spans="1:21" ht="64" customHeight="1">
      <c r="A69" s="10" t="s">
        <v>549</v>
      </c>
      <c r="B69" s="10" t="s">
        <v>524</v>
      </c>
      <c r="C69" s="10" t="s">
        <v>550</v>
      </c>
      <c r="D69" s="14" t="s">
        <v>296</v>
      </c>
      <c r="E69" s="10" t="s">
        <v>515</v>
      </c>
      <c r="F69" s="10"/>
      <c r="G69" s="10" t="str">
        <f t="shared" si="2"/>
        <v>Waiting</v>
      </c>
      <c r="H69" s="18">
        <v>10</v>
      </c>
      <c r="I69" s="14"/>
      <c r="J69" s="16"/>
      <c r="K69" s="10" t="s">
        <v>551</v>
      </c>
      <c r="L69" s="10" t="s">
        <v>552</v>
      </c>
      <c r="M69" s="10" t="s">
        <v>553</v>
      </c>
      <c r="N69" s="10" t="s">
        <v>554</v>
      </c>
      <c r="O69" s="10" t="s">
        <v>555</v>
      </c>
      <c r="P69" s="10" t="s">
        <v>556</v>
      </c>
      <c r="Q69" s="10" t="s">
        <v>532</v>
      </c>
      <c r="R69" s="10"/>
      <c r="S69" s="14"/>
      <c r="T69" s="14"/>
      <c r="U69" s="10">
        <f t="shared" si="3"/>
        <v>0</v>
      </c>
    </row>
    <row r="70" spans="1:21" ht="64" customHeight="1">
      <c r="A70" s="11" t="s">
        <v>557</v>
      </c>
      <c r="B70" s="11" t="s">
        <v>524</v>
      </c>
      <c r="C70" s="11" t="s">
        <v>558</v>
      </c>
      <c r="D70" s="14" t="s">
        <v>296</v>
      </c>
      <c r="E70" s="11" t="s">
        <v>515</v>
      </c>
      <c r="F70" s="11"/>
      <c r="G70" s="11" t="str">
        <f t="shared" si="2"/>
        <v>Waiting</v>
      </c>
      <c r="H70" s="18">
        <v>6</v>
      </c>
      <c r="I70" s="14"/>
      <c r="J70" s="16"/>
      <c r="K70" s="11" t="s">
        <v>559</v>
      </c>
      <c r="L70" s="11" t="s">
        <v>560</v>
      </c>
      <c r="M70" s="11" t="s">
        <v>561</v>
      </c>
      <c r="N70" s="11" t="s">
        <v>562</v>
      </c>
      <c r="O70" s="11" t="s">
        <v>563</v>
      </c>
      <c r="P70" s="11" t="s">
        <v>564</v>
      </c>
      <c r="Q70" s="11" t="s">
        <v>532</v>
      </c>
      <c r="R70" s="11"/>
      <c r="S70" s="14"/>
      <c r="T70" s="14"/>
      <c r="U70" s="10">
        <f t="shared" si="3"/>
        <v>0</v>
      </c>
    </row>
    <row r="71" spans="1:21" ht="64" customHeight="1">
      <c r="A71" s="10" t="s">
        <v>565</v>
      </c>
      <c r="B71" s="10" t="s">
        <v>524</v>
      </c>
      <c r="C71" s="10" t="s">
        <v>566</v>
      </c>
      <c r="D71" s="14" t="s">
        <v>296</v>
      </c>
      <c r="E71" s="10" t="s">
        <v>523</v>
      </c>
      <c r="F71" s="10" t="s">
        <v>557</v>
      </c>
      <c r="G71" s="10" t="str">
        <f t="shared" si="2"/>
        <v>Waiting</v>
      </c>
      <c r="H71" s="18">
        <v>8</v>
      </c>
      <c r="I71" s="14"/>
      <c r="J71" s="16"/>
      <c r="K71" s="10" t="s">
        <v>567</v>
      </c>
      <c r="L71" s="10" t="s">
        <v>568</v>
      </c>
      <c r="M71" s="10" t="s">
        <v>569</v>
      </c>
      <c r="N71" s="10" t="s">
        <v>570</v>
      </c>
      <c r="O71" s="10" t="s">
        <v>571</v>
      </c>
      <c r="P71" s="10" t="s">
        <v>572</v>
      </c>
      <c r="Q71" s="10" t="s">
        <v>532</v>
      </c>
      <c r="R71" s="10"/>
      <c r="S71" s="14"/>
      <c r="T71" s="14"/>
      <c r="U71" s="10">
        <f t="shared" si="3"/>
        <v>0</v>
      </c>
    </row>
    <row r="72" spans="1:21" ht="21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</row>
    <row r="73" spans="1:21" ht="21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</row>
    <row r="74" spans="1:21" ht="21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</row>
    <row r="75" spans="1:21" ht="21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</row>
    <row r="76" spans="1:21" ht="26" customHeight="1">
      <c r="A76" s="19" t="s">
        <v>573</v>
      </c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"/>
      <c r="M76" s="1"/>
      <c r="N76" s="1"/>
      <c r="O76" s="1"/>
      <c r="P76" s="1"/>
      <c r="Q76" s="1"/>
      <c r="R76" s="1"/>
      <c r="S76" s="1"/>
      <c r="T76" s="1"/>
      <c r="U76" s="1"/>
    </row>
    <row r="77" spans="1:21" ht="21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</row>
    <row r="78" spans="1:21" ht="32" customHeight="1">
      <c r="A78" s="4" t="s">
        <v>22</v>
      </c>
      <c r="B78" s="4" t="s">
        <v>0</v>
      </c>
      <c r="C78" s="4" t="s">
        <v>1</v>
      </c>
      <c r="D78" s="4" t="s">
        <v>296</v>
      </c>
      <c r="E78" s="4" t="s">
        <v>574</v>
      </c>
      <c r="F78" s="4" t="s">
        <v>3</v>
      </c>
      <c r="G78" s="4" t="s">
        <v>2</v>
      </c>
      <c r="H78" s="4" t="s">
        <v>4</v>
      </c>
      <c r="I78" s="4" t="s">
        <v>5</v>
      </c>
      <c r="J78" s="4" t="s">
        <v>575</v>
      </c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</row>
    <row r="79" spans="1:21" ht="38" customHeight="1">
      <c r="A79" s="11" t="s">
        <v>43</v>
      </c>
      <c r="B79" s="11">
        <f t="shared" ref="B79:B88" si="4">COUNTIFS($B$12:$B$71,A79)</f>
        <v>6</v>
      </c>
      <c r="C79" s="11">
        <f t="shared" ref="C79:C88" si="5">COUNTIFS($B$12:$B$71,A79,$D$12:$D$71,"Completed")</f>
        <v>6</v>
      </c>
      <c r="D79" s="11">
        <f t="shared" ref="D79:D88" si="6">COUNTIFS($B$12:$B$71,A79,$D$12:$D$71,"Not Started")</f>
        <v>0</v>
      </c>
      <c r="E79" s="11">
        <f t="shared" ref="E79:E88" si="7">COUNTIFS($B$12:$B$71,A79,$D$12:$D$71,"In Progress")</f>
        <v>0</v>
      </c>
      <c r="F79" s="11">
        <f t="shared" ref="F79:F88" si="8">COUNTIFS($B$12:$B$71,A79,$D$12:$D$71,"Blocked")</f>
        <v>0</v>
      </c>
      <c r="G79" s="20">
        <f t="shared" ref="G79:G88" si="9">IF(B79=0,0,C79/B79)</f>
        <v>1</v>
      </c>
      <c r="H79" s="11">
        <f t="shared" ref="H79:H88" si="10">SUMIFS($H$12:$H$71,$B$12:$B$71,A79)</f>
        <v>21</v>
      </c>
      <c r="I79" s="11">
        <f t="shared" ref="I79:I88" si="11">SUMIFS($H$12:$H$71,$B$12:$B$71,A79,$D$12:$D$71,"&lt;&gt;Completed")</f>
        <v>0</v>
      </c>
      <c r="J79" s="11">
        <f t="shared" ref="J79:J88" si="12">COUNTIFS($B$12:$B$71,A79,$G$12:$G$71,"Ready")</f>
        <v>0</v>
      </c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</row>
    <row r="80" spans="1:21" ht="38" customHeight="1">
      <c r="A80" s="10" t="s">
        <v>100</v>
      </c>
      <c r="B80" s="10">
        <f t="shared" si="4"/>
        <v>6</v>
      </c>
      <c r="C80" s="10">
        <f t="shared" si="5"/>
        <v>6</v>
      </c>
      <c r="D80" s="10">
        <f t="shared" si="6"/>
        <v>0</v>
      </c>
      <c r="E80" s="10">
        <f t="shared" si="7"/>
        <v>0</v>
      </c>
      <c r="F80" s="10">
        <f t="shared" si="8"/>
        <v>0</v>
      </c>
      <c r="G80" s="21">
        <f t="shared" si="9"/>
        <v>1</v>
      </c>
      <c r="H80" s="10">
        <f t="shared" si="10"/>
        <v>24</v>
      </c>
      <c r="I80" s="10">
        <f t="shared" si="11"/>
        <v>0</v>
      </c>
      <c r="J80" s="10">
        <f t="shared" si="12"/>
        <v>0</v>
      </c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</row>
    <row r="81" spans="1:21" ht="38" customHeight="1">
      <c r="A81" s="11" t="s">
        <v>156</v>
      </c>
      <c r="B81" s="11">
        <f t="shared" si="4"/>
        <v>6</v>
      </c>
      <c r="C81" s="11">
        <f t="shared" si="5"/>
        <v>6</v>
      </c>
      <c r="D81" s="11">
        <f t="shared" si="6"/>
        <v>0</v>
      </c>
      <c r="E81" s="11">
        <f t="shared" si="7"/>
        <v>0</v>
      </c>
      <c r="F81" s="11">
        <f t="shared" si="8"/>
        <v>0</v>
      </c>
      <c r="G81" s="20">
        <f t="shared" si="9"/>
        <v>1</v>
      </c>
      <c r="H81" s="11">
        <f t="shared" si="10"/>
        <v>27</v>
      </c>
      <c r="I81" s="11">
        <f t="shared" si="11"/>
        <v>0</v>
      </c>
      <c r="J81" s="11">
        <f t="shared" si="12"/>
        <v>0</v>
      </c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</row>
    <row r="82" spans="1:21" ht="38" customHeight="1">
      <c r="A82" s="10" t="s">
        <v>214</v>
      </c>
      <c r="B82" s="10">
        <f t="shared" si="4"/>
        <v>6</v>
      </c>
      <c r="C82" s="10">
        <f t="shared" si="5"/>
        <v>6</v>
      </c>
      <c r="D82" s="10">
        <f t="shared" si="6"/>
        <v>0</v>
      </c>
      <c r="E82" s="10">
        <f t="shared" si="7"/>
        <v>0</v>
      </c>
      <c r="F82" s="10">
        <f t="shared" si="8"/>
        <v>0</v>
      </c>
      <c r="G82" s="21">
        <f t="shared" si="9"/>
        <v>1</v>
      </c>
      <c r="H82" s="10">
        <f t="shared" si="10"/>
        <v>33</v>
      </c>
      <c r="I82" s="10">
        <f t="shared" si="11"/>
        <v>0</v>
      </c>
      <c r="J82" s="10">
        <f t="shared" si="12"/>
        <v>0</v>
      </c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</row>
    <row r="83" spans="1:21" ht="38" customHeight="1">
      <c r="A83" s="11" t="s">
        <v>274</v>
      </c>
      <c r="B83" s="11">
        <f t="shared" si="4"/>
        <v>6</v>
      </c>
      <c r="C83" s="11">
        <f t="shared" si="5"/>
        <v>6</v>
      </c>
      <c r="D83" s="11">
        <f t="shared" si="6"/>
        <v>0</v>
      </c>
      <c r="E83" s="11">
        <f t="shared" si="7"/>
        <v>0</v>
      </c>
      <c r="F83" s="11">
        <f t="shared" si="8"/>
        <v>0</v>
      </c>
      <c r="G83" s="20">
        <f t="shared" si="9"/>
        <v>1</v>
      </c>
      <c r="H83" s="11">
        <f t="shared" si="10"/>
        <v>29</v>
      </c>
      <c r="I83" s="11">
        <f t="shared" si="11"/>
        <v>0</v>
      </c>
      <c r="J83" s="11">
        <f t="shared" si="12"/>
        <v>0</v>
      </c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</row>
    <row r="84" spans="1:21" ht="38" customHeight="1">
      <c r="A84" s="10" t="s">
        <v>328</v>
      </c>
      <c r="B84" s="10">
        <f t="shared" si="4"/>
        <v>6</v>
      </c>
      <c r="C84" s="10">
        <f t="shared" si="5"/>
        <v>0</v>
      </c>
      <c r="D84" s="10">
        <f t="shared" si="6"/>
        <v>6</v>
      </c>
      <c r="E84" s="10">
        <f t="shared" si="7"/>
        <v>0</v>
      </c>
      <c r="F84" s="10">
        <f t="shared" si="8"/>
        <v>0</v>
      </c>
      <c r="G84" s="21">
        <f t="shared" si="9"/>
        <v>0</v>
      </c>
      <c r="H84" s="10">
        <f t="shared" si="10"/>
        <v>33</v>
      </c>
      <c r="I84" s="10">
        <f t="shared" si="11"/>
        <v>33</v>
      </c>
      <c r="J84" s="10">
        <f t="shared" si="12"/>
        <v>1</v>
      </c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</row>
    <row r="85" spans="1:21" ht="38" customHeight="1">
      <c r="A85" s="11" t="s">
        <v>377</v>
      </c>
      <c r="B85" s="11">
        <f t="shared" si="4"/>
        <v>6</v>
      </c>
      <c r="C85" s="11">
        <f t="shared" si="5"/>
        <v>0</v>
      </c>
      <c r="D85" s="11">
        <f t="shared" si="6"/>
        <v>6</v>
      </c>
      <c r="E85" s="11">
        <f t="shared" si="7"/>
        <v>0</v>
      </c>
      <c r="F85" s="11">
        <f t="shared" si="8"/>
        <v>0</v>
      </c>
      <c r="G85" s="20">
        <f t="shared" si="9"/>
        <v>0</v>
      </c>
      <c r="H85" s="11">
        <f t="shared" si="10"/>
        <v>25</v>
      </c>
      <c r="I85" s="11">
        <f t="shared" si="11"/>
        <v>25</v>
      </c>
      <c r="J85" s="11">
        <f t="shared" si="12"/>
        <v>0</v>
      </c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</row>
    <row r="86" spans="1:21" ht="38" customHeight="1">
      <c r="A86" s="10" t="s">
        <v>426</v>
      </c>
      <c r="B86" s="10">
        <f t="shared" si="4"/>
        <v>6</v>
      </c>
      <c r="C86" s="10">
        <f t="shared" si="5"/>
        <v>0</v>
      </c>
      <c r="D86" s="10">
        <f t="shared" si="6"/>
        <v>6</v>
      </c>
      <c r="E86" s="10">
        <f t="shared" si="7"/>
        <v>0</v>
      </c>
      <c r="F86" s="10">
        <f t="shared" si="8"/>
        <v>0</v>
      </c>
      <c r="G86" s="21">
        <f t="shared" si="9"/>
        <v>0</v>
      </c>
      <c r="H86" s="10">
        <f t="shared" si="10"/>
        <v>25</v>
      </c>
      <c r="I86" s="10">
        <f t="shared" si="11"/>
        <v>25</v>
      </c>
      <c r="J86" s="10">
        <f t="shared" si="12"/>
        <v>0</v>
      </c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</row>
    <row r="87" spans="1:21" ht="38" customHeight="1">
      <c r="A87" s="11" t="s">
        <v>475</v>
      </c>
      <c r="B87" s="11">
        <f t="shared" si="4"/>
        <v>6</v>
      </c>
      <c r="C87" s="11">
        <f t="shared" si="5"/>
        <v>0</v>
      </c>
      <c r="D87" s="11">
        <f t="shared" si="6"/>
        <v>6</v>
      </c>
      <c r="E87" s="11">
        <f t="shared" si="7"/>
        <v>0</v>
      </c>
      <c r="F87" s="11">
        <f t="shared" si="8"/>
        <v>0</v>
      </c>
      <c r="G87" s="20">
        <f t="shared" si="9"/>
        <v>0</v>
      </c>
      <c r="H87" s="11">
        <f t="shared" si="10"/>
        <v>16</v>
      </c>
      <c r="I87" s="11">
        <f t="shared" si="11"/>
        <v>16</v>
      </c>
      <c r="J87" s="11">
        <f t="shared" si="12"/>
        <v>0</v>
      </c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</row>
    <row r="88" spans="1:21" ht="38" customHeight="1">
      <c r="A88" s="10" t="s">
        <v>524</v>
      </c>
      <c r="B88" s="10">
        <f t="shared" si="4"/>
        <v>6</v>
      </c>
      <c r="C88" s="10">
        <f t="shared" si="5"/>
        <v>0</v>
      </c>
      <c r="D88" s="10">
        <f t="shared" si="6"/>
        <v>6</v>
      </c>
      <c r="E88" s="10">
        <f t="shared" si="7"/>
        <v>0</v>
      </c>
      <c r="F88" s="10">
        <f t="shared" si="8"/>
        <v>0</v>
      </c>
      <c r="G88" s="21">
        <f t="shared" si="9"/>
        <v>0</v>
      </c>
      <c r="H88" s="10">
        <f t="shared" si="10"/>
        <v>52</v>
      </c>
      <c r="I88" s="10">
        <f t="shared" si="11"/>
        <v>52</v>
      </c>
      <c r="J88" s="10">
        <f t="shared" si="12"/>
        <v>0</v>
      </c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</row>
    <row r="89" spans="1:21" ht="21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</row>
    <row r="90" spans="1:21" ht="21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</row>
    <row r="91" spans="1:21" ht="26" customHeight="1">
      <c r="A91" s="19" t="s">
        <v>576</v>
      </c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"/>
      <c r="M91" s="1"/>
      <c r="N91" s="1"/>
      <c r="O91" s="1"/>
      <c r="P91" s="1"/>
      <c r="Q91" s="1"/>
      <c r="R91" s="1"/>
      <c r="S91" s="1"/>
      <c r="T91" s="1"/>
      <c r="U91" s="1"/>
    </row>
    <row r="92" spans="1:21" ht="21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</row>
    <row r="93" spans="1:21" ht="65" customHeight="1">
      <c r="A93" s="1"/>
      <c r="B93" s="22" t="s">
        <v>577</v>
      </c>
      <c r="C93" s="10" t="s">
        <v>578</v>
      </c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</row>
    <row r="94" spans="1:21" ht="65" customHeight="1">
      <c r="A94" s="1"/>
      <c r="B94" s="22" t="s">
        <v>579</v>
      </c>
      <c r="C94" s="10" t="s">
        <v>580</v>
      </c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</row>
    <row r="95" spans="1:21" ht="125" customHeight="1">
      <c r="A95" s="1"/>
      <c r="B95" s="22" t="s">
        <v>581</v>
      </c>
      <c r="C95" s="10" t="s">
        <v>582</v>
      </c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</row>
    <row r="96" spans="1:21" ht="110" customHeight="1">
      <c r="A96" s="1"/>
      <c r="B96" s="22" t="s">
        <v>583</v>
      </c>
      <c r="C96" s="10" t="s">
        <v>584</v>
      </c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</row>
    <row r="97" spans="1:21" ht="110" customHeight="1">
      <c r="A97" s="1"/>
      <c r="B97" s="22" t="s">
        <v>585</v>
      </c>
      <c r="C97" s="10" t="s">
        <v>586</v>
      </c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</row>
    <row r="98" spans="1:21" ht="95" customHeight="1">
      <c r="A98" s="1"/>
      <c r="B98" s="22" t="s">
        <v>587</v>
      </c>
      <c r="C98" s="10" t="s">
        <v>588</v>
      </c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</row>
    <row r="99" spans="1:21" ht="110" customHeight="1">
      <c r="A99" s="1"/>
      <c r="B99" s="22" t="s">
        <v>589</v>
      </c>
      <c r="C99" s="10" t="s">
        <v>590</v>
      </c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</row>
    <row r="100" spans="1:21" ht="125" customHeight="1">
      <c r="A100" s="1"/>
      <c r="B100" s="22" t="s">
        <v>591</v>
      </c>
      <c r="C100" s="10" t="s">
        <v>592</v>
      </c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</row>
    <row r="101" spans="1:21" ht="110" customHeight="1">
      <c r="A101" s="1"/>
      <c r="B101" s="22" t="s">
        <v>593</v>
      </c>
      <c r="C101" s="10" t="s">
        <v>594</v>
      </c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</row>
    <row r="102" spans="1:21" ht="125" customHeight="1">
      <c r="A102" s="1"/>
      <c r="B102" s="22" t="s">
        <v>595</v>
      </c>
      <c r="C102" s="10" t="s">
        <v>596</v>
      </c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</row>
    <row r="103" spans="1:21" ht="110" customHeight="1">
      <c r="A103" s="1"/>
      <c r="B103" s="22" t="s">
        <v>597</v>
      </c>
      <c r="C103" s="10" t="s">
        <v>598</v>
      </c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</row>
    <row r="104" spans="1:21" ht="110" customHeight="1">
      <c r="A104" s="1"/>
      <c r="B104" s="22" t="s">
        <v>599</v>
      </c>
      <c r="C104" s="10" t="s">
        <v>600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</row>
    <row r="105" spans="1:21" ht="95" customHeight="1">
      <c r="A105" s="1"/>
      <c r="B105" s="22" t="s">
        <v>601</v>
      </c>
      <c r="C105" s="10" t="s">
        <v>602</v>
      </c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</row>
    <row r="106" spans="1:21" ht="110" customHeight="1">
      <c r="A106" s="1"/>
      <c r="B106" s="22" t="s">
        <v>603</v>
      </c>
      <c r="C106" s="10" t="s">
        <v>604</v>
      </c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</row>
    <row r="107" spans="1:21" ht="110" customHeight="1">
      <c r="A107" s="1"/>
      <c r="B107" s="22" t="s">
        <v>605</v>
      </c>
      <c r="C107" s="10" t="s">
        <v>606</v>
      </c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</row>
    <row r="108" spans="1:21" ht="21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</row>
    <row r="109" spans="1:21" ht="21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</row>
    <row r="110" spans="1:21" ht="26" customHeight="1">
      <c r="A110" s="19" t="s">
        <v>607</v>
      </c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"/>
      <c r="M110" s="1"/>
      <c r="N110" s="1"/>
      <c r="O110" s="1"/>
      <c r="P110" s="1"/>
      <c r="Q110" s="1"/>
      <c r="R110" s="1"/>
      <c r="S110" s="1"/>
      <c r="T110" s="1"/>
      <c r="U110" s="1"/>
    </row>
    <row r="111" spans="1:21" ht="21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</row>
    <row r="112" spans="1:21" ht="95" customHeight="1">
      <c r="A112" s="1"/>
      <c r="B112" s="22" t="s">
        <v>608</v>
      </c>
      <c r="C112" s="10" t="s">
        <v>609</v>
      </c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</row>
    <row r="113" spans="1:21" ht="95" customHeight="1">
      <c r="A113" s="1"/>
      <c r="B113" s="22" t="s">
        <v>610</v>
      </c>
      <c r="C113" s="10" t="s">
        <v>611</v>
      </c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</row>
    <row r="114" spans="1:21" ht="95" customHeight="1">
      <c r="A114" s="1"/>
      <c r="B114" s="22" t="s">
        <v>612</v>
      </c>
      <c r="C114" s="10" t="s">
        <v>613</v>
      </c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</row>
    <row r="115" spans="1:21" ht="80" customHeight="1">
      <c r="A115" s="1"/>
      <c r="B115" s="22" t="s">
        <v>614</v>
      </c>
      <c r="C115" s="10" t="s">
        <v>615</v>
      </c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</row>
    <row r="116" spans="1:21" ht="95" customHeight="1">
      <c r="A116" s="1"/>
      <c r="B116" s="22" t="s">
        <v>616</v>
      </c>
      <c r="C116" s="10" t="s">
        <v>617</v>
      </c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</row>
    <row r="117" spans="1:21" ht="95" customHeight="1">
      <c r="A117" s="1"/>
      <c r="B117" s="22" t="s">
        <v>618</v>
      </c>
      <c r="C117" s="10" t="s">
        <v>619</v>
      </c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</row>
    <row r="118" spans="1:21" ht="21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</row>
    <row r="119" spans="1:21" ht="21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</row>
    <row r="120" spans="1:21" ht="26" customHeight="1">
      <c r="A120" s="19" t="s">
        <v>620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"/>
      <c r="M120" s="1"/>
      <c r="N120" s="1"/>
      <c r="O120" s="1"/>
      <c r="P120" s="1"/>
      <c r="Q120" s="1"/>
      <c r="R120" s="1"/>
      <c r="S120" s="1"/>
      <c r="T120" s="1"/>
      <c r="U120" s="1"/>
    </row>
    <row r="121" spans="1:21" ht="21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</row>
    <row r="122" spans="1:21" ht="32" customHeight="1">
      <c r="A122" s="4" t="s">
        <v>621</v>
      </c>
      <c r="B122" s="4" t="s">
        <v>622</v>
      </c>
      <c r="C122" s="4" t="s">
        <v>577</v>
      </c>
      <c r="D122" s="4" t="s">
        <v>38</v>
      </c>
      <c r="E122" s="4" t="s">
        <v>623</v>
      </c>
      <c r="F122" s="4" t="s">
        <v>624</v>
      </c>
      <c r="G122" s="4" t="s">
        <v>625</v>
      </c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</row>
    <row r="123" spans="1:21" ht="190" customHeight="1">
      <c r="A123" s="11" t="s">
        <v>626</v>
      </c>
      <c r="B123" s="11" t="s">
        <v>627</v>
      </c>
      <c r="C123" s="11" t="s">
        <v>628</v>
      </c>
      <c r="D123" s="11" t="s">
        <v>108</v>
      </c>
      <c r="E123" s="11" t="s">
        <v>629</v>
      </c>
      <c r="F123" s="11" t="s">
        <v>630</v>
      </c>
      <c r="G123" s="11" t="s">
        <v>631</v>
      </c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</row>
    <row r="124" spans="1:21" ht="190" customHeight="1">
      <c r="A124" s="10" t="s">
        <v>632</v>
      </c>
      <c r="B124" s="10" t="s">
        <v>633</v>
      </c>
      <c r="C124" s="10" t="s">
        <v>634</v>
      </c>
      <c r="D124" s="10" t="s">
        <v>108</v>
      </c>
      <c r="E124" s="10" t="s">
        <v>635</v>
      </c>
      <c r="F124" s="10" t="s">
        <v>636</v>
      </c>
      <c r="G124" s="10" t="s">
        <v>637</v>
      </c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</row>
    <row r="125" spans="1:21" ht="190" customHeight="1">
      <c r="A125" s="11" t="s">
        <v>638</v>
      </c>
      <c r="B125" s="11" t="s">
        <v>639</v>
      </c>
      <c r="C125" s="11" t="s">
        <v>640</v>
      </c>
      <c r="D125" s="11" t="s">
        <v>231</v>
      </c>
      <c r="E125" s="11" t="s">
        <v>641</v>
      </c>
      <c r="F125" s="11" t="s">
        <v>642</v>
      </c>
      <c r="G125" s="11" t="s">
        <v>643</v>
      </c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</row>
    <row r="126" spans="1:21" ht="21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</row>
    <row r="127" spans="1:21" ht="21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</row>
    <row r="128" spans="1:21" ht="26" customHeight="1">
      <c r="A128" s="19" t="s">
        <v>644</v>
      </c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"/>
      <c r="M128" s="1"/>
      <c r="N128" s="1"/>
      <c r="O128" s="1"/>
      <c r="P128" s="1"/>
      <c r="Q128" s="1"/>
      <c r="R128" s="1"/>
      <c r="S128" s="1"/>
      <c r="T128" s="1"/>
      <c r="U128" s="1"/>
    </row>
    <row r="129" spans="1:21" ht="21" customHeight="1">
      <c r="A129" s="1" t="s">
        <v>645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</row>
    <row r="130" spans="1:21" ht="32" customHeight="1">
      <c r="A130" s="4" t="s">
        <v>646</v>
      </c>
      <c r="B130" s="4" t="s">
        <v>647</v>
      </c>
      <c r="C130" s="4" t="s">
        <v>648</v>
      </c>
      <c r="D130" s="4" t="s">
        <v>649</v>
      </c>
      <c r="E130" s="4" t="s">
        <v>650</v>
      </c>
      <c r="F130" s="4" t="s">
        <v>651</v>
      </c>
      <c r="G130" s="4" t="s">
        <v>652</v>
      </c>
      <c r="H130" s="4" t="s">
        <v>653</v>
      </c>
      <c r="I130" s="4" t="s">
        <v>654</v>
      </c>
      <c r="J130" s="4" t="s">
        <v>655</v>
      </c>
      <c r="K130" s="4" t="s">
        <v>656</v>
      </c>
      <c r="L130" s="1"/>
      <c r="M130" s="1"/>
      <c r="N130" s="1"/>
      <c r="O130" s="1"/>
      <c r="P130" s="1"/>
      <c r="Q130" s="1"/>
      <c r="R130" s="1"/>
      <c r="S130" s="1"/>
      <c r="T130" s="1"/>
      <c r="U130" s="1"/>
    </row>
    <row r="131" spans="1:21" ht="105" customHeight="1">
      <c r="A131" s="11" t="s">
        <v>657</v>
      </c>
      <c r="B131" s="11" t="s">
        <v>658</v>
      </c>
      <c r="C131" s="11" t="s">
        <v>659</v>
      </c>
      <c r="D131" s="11" t="s">
        <v>660</v>
      </c>
      <c r="E131" s="23"/>
      <c r="F131" s="23"/>
      <c r="G131" s="24" t="str">
        <f t="shared" ref="G131:G137" si="13">IF(AND(ISNUMBER(E131),ISNUMBER(F131)),F131-E131,"")</f>
        <v/>
      </c>
      <c r="H131" s="14"/>
      <c r="I131" s="14"/>
      <c r="J131" s="14"/>
      <c r="K131" s="11" t="s">
        <v>661</v>
      </c>
      <c r="L131" s="1"/>
      <c r="M131" s="1"/>
      <c r="N131" s="1"/>
      <c r="O131" s="1"/>
      <c r="P131" s="1"/>
      <c r="Q131" s="1"/>
      <c r="R131" s="1"/>
      <c r="S131" s="1"/>
      <c r="T131" s="1"/>
      <c r="U131" s="1"/>
    </row>
    <row r="132" spans="1:21" ht="105" customHeight="1">
      <c r="A132" s="10" t="s">
        <v>662</v>
      </c>
      <c r="B132" s="10" t="s">
        <v>663</v>
      </c>
      <c r="C132" s="10" t="s">
        <v>664</v>
      </c>
      <c r="D132" s="10" t="s">
        <v>665</v>
      </c>
      <c r="E132" s="23"/>
      <c r="F132" s="23"/>
      <c r="G132" s="25" t="str">
        <f t="shared" si="13"/>
        <v/>
      </c>
      <c r="H132" s="14"/>
      <c r="I132" s="14"/>
      <c r="J132" s="14"/>
      <c r="K132" s="10" t="s">
        <v>666</v>
      </c>
      <c r="L132" s="1"/>
      <c r="M132" s="1"/>
      <c r="N132" s="1"/>
      <c r="O132" s="1"/>
      <c r="P132" s="1"/>
      <c r="Q132" s="1"/>
      <c r="R132" s="1"/>
      <c r="S132" s="1"/>
      <c r="T132" s="1"/>
      <c r="U132" s="1"/>
    </row>
    <row r="133" spans="1:21" ht="105" customHeight="1">
      <c r="A133" s="11" t="s">
        <v>667</v>
      </c>
      <c r="B133" s="11" t="s">
        <v>668</v>
      </c>
      <c r="C133" s="11" t="s">
        <v>669</v>
      </c>
      <c r="D133" s="11" t="s">
        <v>665</v>
      </c>
      <c r="E133" s="23"/>
      <c r="F133" s="23"/>
      <c r="G133" s="24" t="str">
        <f t="shared" si="13"/>
        <v/>
      </c>
      <c r="H133" s="14"/>
      <c r="I133" s="14"/>
      <c r="J133" s="14"/>
      <c r="K133" s="11" t="s">
        <v>670</v>
      </c>
      <c r="L133" s="1"/>
      <c r="M133" s="1"/>
      <c r="N133" s="1"/>
      <c r="O133" s="1"/>
      <c r="P133" s="1"/>
      <c r="Q133" s="1"/>
      <c r="R133" s="1"/>
      <c r="S133" s="1"/>
      <c r="T133" s="1"/>
      <c r="U133" s="1"/>
    </row>
    <row r="134" spans="1:21" ht="105" customHeight="1">
      <c r="A134" s="10" t="s">
        <v>671</v>
      </c>
      <c r="B134" s="10" t="s">
        <v>672</v>
      </c>
      <c r="C134" s="10" t="s">
        <v>673</v>
      </c>
      <c r="D134" s="10" t="s">
        <v>660</v>
      </c>
      <c r="E134" s="23"/>
      <c r="F134" s="23"/>
      <c r="G134" s="25" t="str">
        <f t="shared" si="13"/>
        <v/>
      </c>
      <c r="H134" s="14"/>
      <c r="I134" s="14"/>
      <c r="J134" s="14"/>
      <c r="K134" s="10" t="s">
        <v>674</v>
      </c>
      <c r="L134" s="1"/>
      <c r="M134" s="1"/>
      <c r="N134" s="1"/>
      <c r="O134" s="1"/>
      <c r="P134" s="1"/>
      <c r="Q134" s="1"/>
      <c r="R134" s="1"/>
      <c r="S134" s="1"/>
      <c r="T134" s="1"/>
      <c r="U134" s="1"/>
    </row>
    <row r="135" spans="1:21" ht="105" customHeight="1">
      <c r="A135" s="11" t="s">
        <v>675</v>
      </c>
      <c r="B135" s="11" t="s">
        <v>676</v>
      </c>
      <c r="C135" s="11" t="s">
        <v>677</v>
      </c>
      <c r="D135" s="11" t="s">
        <v>660</v>
      </c>
      <c r="E135" s="23"/>
      <c r="F135" s="23"/>
      <c r="G135" s="24" t="str">
        <f t="shared" si="13"/>
        <v/>
      </c>
      <c r="H135" s="14"/>
      <c r="I135" s="14"/>
      <c r="J135" s="14"/>
      <c r="K135" s="11" t="s">
        <v>678</v>
      </c>
      <c r="L135" s="1"/>
      <c r="M135" s="1"/>
      <c r="N135" s="1"/>
      <c r="O135" s="1"/>
      <c r="P135" s="1"/>
      <c r="Q135" s="1"/>
      <c r="R135" s="1"/>
      <c r="S135" s="1"/>
      <c r="T135" s="1"/>
      <c r="U135" s="1"/>
    </row>
    <row r="136" spans="1:21" ht="105" customHeight="1">
      <c r="A136" s="10" t="s">
        <v>679</v>
      </c>
      <c r="B136" s="10" t="s">
        <v>680</v>
      </c>
      <c r="C136" s="10" t="s">
        <v>681</v>
      </c>
      <c r="D136" s="10" t="s">
        <v>665</v>
      </c>
      <c r="E136" s="23"/>
      <c r="F136" s="23"/>
      <c r="G136" s="25" t="str">
        <f t="shared" si="13"/>
        <v/>
      </c>
      <c r="H136" s="14"/>
      <c r="I136" s="14"/>
      <c r="J136" s="14"/>
      <c r="K136" s="10" t="s">
        <v>682</v>
      </c>
      <c r="L136" s="1"/>
      <c r="M136" s="1"/>
      <c r="N136" s="1"/>
      <c r="O136" s="1"/>
      <c r="P136" s="1"/>
      <c r="Q136" s="1"/>
      <c r="R136" s="1"/>
      <c r="S136" s="1"/>
      <c r="T136" s="1"/>
      <c r="U136" s="1"/>
    </row>
    <row r="137" spans="1:21" ht="105" customHeight="1">
      <c r="A137" s="11" t="s">
        <v>683</v>
      </c>
      <c r="B137" s="11" t="s">
        <v>684</v>
      </c>
      <c r="C137" s="11" t="s">
        <v>685</v>
      </c>
      <c r="D137" s="11" t="s">
        <v>665</v>
      </c>
      <c r="E137" s="23"/>
      <c r="F137" s="23"/>
      <c r="G137" s="24" t="str">
        <f t="shared" si="13"/>
        <v/>
      </c>
      <c r="H137" s="14"/>
      <c r="I137" s="14"/>
      <c r="J137" s="14"/>
      <c r="K137" s="11" t="s">
        <v>686</v>
      </c>
      <c r="L137" s="1"/>
      <c r="M137" s="1"/>
      <c r="N137" s="1"/>
      <c r="O137" s="1"/>
      <c r="P137" s="1"/>
      <c r="Q137" s="1"/>
      <c r="R137" s="1"/>
      <c r="S137" s="1"/>
      <c r="T137" s="1"/>
      <c r="U137" s="1"/>
    </row>
    <row r="138" spans="1:21" ht="21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</row>
    <row r="139" spans="1:21" ht="21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</row>
    <row r="140" spans="1:21" ht="21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</row>
    <row r="141" spans="1:21" ht="26" customHeight="1">
      <c r="A141" s="19" t="s">
        <v>687</v>
      </c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"/>
      <c r="M141" s="1"/>
      <c r="N141" s="1"/>
      <c r="O141" s="1"/>
      <c r="P141" s="1"/>
      <c r="Q141" s="1"/>
      <c r="R141" s="1"/>
      <c r="S141" s="1"/>
      <c r="T141" s="1"/>
      <c r="U141" s="1"/>
    </row>
    <row r="142" spans="1:21" ht="21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</row>
    <row r="143" spans="1:21" ht="32" customHeight="1">
      <c r="A143" s="4" t="s">
        <v>688</v>
      </c>
      <c r="B143" s="4" t="s">
        <v>689</v>
      </c>
      <c r="C143" s="4" t="s">
        <v>690</v>
      </c>
      <c r="D143" s="4" t="s">
        <v>24</v>
      </c>
      <c r="E143" s="4" t="s">
        <v>691</v>
      </c>
      <c r="F143" s="4" t="s">
        <v>692</v>
      </c>
      <c r="G143" s="4" t="s">
        <v>693</v>
      </c>
      <c r="H143" s="4" t="s">
        <v>694</v>
      </c>
      <c r="I143" s="4" t="s">
        <v>695</v>
      </c>
      <c r="J143" s="4" t="s">
        <v>696</v>
      </c>
      <c r="K143" s="4" t="s">
        <v>697</v>
      </c>
      <c r="L143" s="1"/>
      <c r="M143" s="1"/>
      <c r="N143" s="1"/>
      <c r="O143" s="1"/>
      <c r="P143" s="1"/>
      <c r="Q143" s="1"/>
      <c r="R143" s="1"/>
      <c r="S143" s="1"/>
      <c r="T143" s="1"/>
      <c r="U143" s="1"/>
    </row>
    <row r="144" spans="1:21" ht="94" customHeight="1">
      <c r="A144" s="11" t="s">
        <v>698</v>
      </c>
      <c r="B144" s="11" t="s">
        <v>699</v>
      </c>
      <c r="C144" s="11" t="s">
        <v>700</v>
      </c>
      <c r="D144" s="14" t="s">
        <v>296</v>
      </c>
      <c r="E144" s="14"/>
      <c r="F144" s="14"/>
      <c r="G144" s="14"/>
      <c r="H144" s="14"/>
      <c r="I144" s="14"/>
      <c r="J144" s="16"/>
      <c r="K144" s="11" t="s">
        <v>701</v>
      </c>
      <c r="L144" s="1"/>
      <c r="M144" s="1"/>
      <c r="N144" s="1"/>
      <c r="O144" s="1"/>
      <c r="P144" s="1"/>
      <c r="Q144" s="1"/>
      <c r="R144" s="1"/>
      <c r="S144" s="1"/>
      <c r="T144" s="1"/>
      <c r="U144" s="1"/>
    </row>
    <row r="145" spans="1:21" ht="94" customHeight="1">
      <c r="A145" s="10" t="s">
        <v>702</v>
      </c>
      <c r="B145" s="10" t="s">
        <v>703</v>
      </c>
      <c r="C145" s="10" t="s">
        <v>704</v>
      </c>
      <c r="D145" s="14" t="s">
        <v>296</v>
      </c>
      <c r="E145" s="14"/>
      <c r="F145" s="14"/>
      <c r="G145" s="14"/>
      <c r="H145" s="14"/>
      <c r="I145" s="14"/>
      <c r="J145" s="16"/>
      <c r="K145" s="10" t="s">
        <v>705</v>
      </c>
      <c r="L145" s="1"/>
      <c r="M145" s="1"/>
      <c r="N145" s="1"/>
      <c r="O145" s="1"/>
      <c r="P145" s="1"/>
      <c r="Q145" s="1"/>
      <c r="R145" s="1"/>
      <c r="S145" s="1"/>
      <c r="T145" s="1"/>
      <c r="U145" s="1"/>
    </row>
    <row r="146" spans="1:21" ht="94" customHeight="1">
      <c r="A146" s="11" t="s">
        <v>706</v>
      </c>
      <c r="B146" s="11" t="s">
        <v>707</v>
      </c>
      <c r="C146" s="11" t="s">
        <v>708</v>
      </c>
      <c r="D146" s="14" t="s">
        <v>296</v>
      </c>
      <c r="E146" s="14"/>
      <c r="F146" s="14"/>
      <c r="G146" s="14"/>
      <c r="H146" s="14"/>
      <c r="I146" s="14"/>
      <c r="J146" s="16"/>
      <c r="K146" s="11" t="s">
        <v>709</v>
      </c>
      <c r="L146" s="1"/>
      <c r="M146" s="1"/>
      <c r="N146" s="1"/>
      <c r="O146" s="1"/>
      <c r="P146" s="1"/>
      <c r="Q146" s="1"/>
      <c r="R146" s="1"/>
      <c r="S146" s="1"/>
      <c r="T146" s="1"/>
      <c r="U146" s="1"/>
    </row>
    <row r="147" spans="1:21" ht="94" customHeight="1">
      <c r="A147" s="10" t="s">
        <v>710</v>
      </c>
      <c r="B147" s="10" t="s">
        <v>711</v>
      </c>
      <c r="C147" s="10" t="s">
        <v>712</v>
      </c>
      <c r="D147" s="14" t="s">
        <v>296</v>
      </c>
      <c r="E147" s="14"/>
      <c r="F147" s="14"/>
      <c r="G147" s="14"/>
      <c r="H147" s="14"/>
      <c r="I147" s="14"/>
      <c r="J147" s="16"/>
      <c r="K147" s="10" t="s">
        <v>713</v>
      </c>
      <c r="L147" s="1"/>
      <c r="M147" s="1"/>
      <c r="N147" s="1"/>
      <c r="O147" s="1"/>
      <c r="P147" s="1"/>
      <c r="Q147" s="1"/>
      <c r="R147" s="1"/>
      <c r="S147" s="1"/>
      <c r="T147" s="1"/>
      <c r="U147" s="1"/>
    </row>
    <row r="148" spans="1:21" ht="21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</row>
    <row r="149" spans="1:21" ht="21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</row>
    <row r="150" spans="1:21" ht="26" customHeight="1">
      <c r="A150" s="19" t="s">
        <v>714</v>
      </c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"/>
      <c r="M150" s="1"/>
      <c r="N150" s="1"/>
      <c r="O150" s="1"/>
      <c r="P150" s="1"/>
      <c r="Q150" s="1"/>
      <c r="R150" s="1"/>
      <c r="S150" s="1"/>
      <c r="T150" s="1"/>
      <c r="U150" s="1"/>
    </row>
    <row r="151" spans="1:21" ht="21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</row>
    <row r="152" spans="1:21" ht="32" customHeight="1">
      <c r="A152" s="4" t="s">
        <v>715</v>
      </c>
      <c r="B152" s="4" t="s">
        <v>716</v>
      </c>
      <c r="C152" s="4" t="s">
        <v>717</v>
      </c>
      <c r="D152" s="4" t="s">
        <v>29</v>
      </c>
      <c r="E152" s="4" t="s">
        <v>24</v>
      </c>
      <c r="F152" s="4" t="s">
        <v>718</v>
      </c>
      <c r="G152" s="4" t="s">
        <v>719</v>
      </c>
      <c r="H152" s="4" t="s">
        <v>720</v>
      </c>
      <c r="I152" s="4" t="s">
        <v>721</v>
      </c>
      <c r="J152" s="4" t="s">
        <v>722</v>
      </c>
      <c r="K152" s="4" t="s">
        <v>723</v>
      </c>
      <c r="L152" s="1"/>
      <c r="M152" s="1"/>
      <c r="N152" s="1"/>
      <c r="O152" s="1"/>
      <c r="P152" s="1"/>
      <c r="Q152" s="1"/>
      <c r="R152" s="1"/>
      <c r="S152" s="1"/>
      <c r="T152" s="1"/>
      <c r="U152" s="1"/>
    </row>
    <row r="153" spans="1:21" ht="94" customHeight="1">
      <c r="A153" s="11" t="s">
        <v>724</v>
      </c>
      <c r="B153" s="11" t="s">
        <v>725</v>
      </c>
      <c r="C153" s="11" t="s">
        <v>726</v>
      </c>
      <c r="D153" s="14"/>
      <c r="E153" s="14"/>
      <c r="F153" s="14"/>
      <c r="G153" s="14"/>
      <c r="H153" s="14"/>
      <c r="I153" s="16"/>
      <c r="J153" s="14"/>
      <c r="K153" s="11" t="s">
        <v>727</v>
      </c>
      <c r="L153" s="1"/>
      <c r="M153" s="1"/>
      <c r="N153" s="1"/>
      <c r="O153" s="1"/>
      <c r="P153" s="1"/>
      <c r="Q153" s="1"/>
      <c r="R153" s="1"/>
      <c r="S153" s="1"/>
      <c r="T153" s="1"/>
      <c r="U153" s="1"/>
    </row>
    <row r="154" spans="1:21" ht="94" customHeight="1">
      <c r="A154" s="10" t="s">
        <v>728</v>
      </c>
      <c r="B154" s="10" t="s">
        <v>729</v>
      </c>
      <c r="C154" s="10" t="s">
        <v>730</v>
      </c>
      <c r="D154" s="14"/>
      <c r="E154" s="14"/>
      <c r="F154" s="14"/>
      <c r="G154" s="14"/>
      <c r="H154" s="14"/>
      <c r="I154" s="16"/>
      <c r="J154" s="14"/>
      <c r="K154" s="10" t="s">
        <v>731</v>
      </c>
      <c r="L154" s="1"/>
      <c r="M154" s="1"/>
      <c r="N154" s="1"/>
      <c r="O154" s="1"/>
      <c r="P154" s="1"/>
      <c r="Q154" s="1"/>
      <c r="R154" s="1"/>
      <c r="S154" s="1"/>
      <c r="T154" s="1"/>
      <c r="U154" s="1"/>
    </row>
    <row r="155" spans="1:21" ht="94" customHeight="1">
      <c r="A155" s="11" t="s">
        <v>732</v>
      </c>
      <c r="B155" s="11" t="s">
        <v>733</v>
      </c>
      <c r="C155" s="11" t="s">
        <v>734</v>
      </c>
      <c r="D155" s="14"/>
      <c r="E155" s="14"/>
      <c r="F155" s="14"/>
      <c r="G155" s="14"/>
      <c r="H155" s="14"/>
      <c r="I155" s="16"/>
      <c r="J155" s="14"/>
      <c r="K155" s="11" t="s">
        <v>735</v>
      </c>
      <c r="L155" s="1"/>
      <c r="M155" s="1"/>
      <c r="N155" s="1"/>
      <c r="O155" s="1"/>
      <c r="P155" s="1"/>
      <c r="Q155" s="1"/>
      <c r="R155" s="1"/>
      <c r="S155" s="1"/>
      <c r="T155" s="1"/>
      <c r="U155" s="1"/>
    </row>
    <row r="156" spans="1:21" ht="94" customHeight="1">
      <c r="A156" s="10" t="s">
        <v>736</v>
      </c>
      <c r="B156" s="10" t="s">
        <v>737</v>
      </c>
      <c r="C156" s="10" t="s">
        <v>738</v>
      </c>
      <c r="D156" s="14"/>
      <c r="E156" s="14"/>
      <c r="F156" s="14"/>
      <c r="G156" s="14"/>
      <c r="H156" s="14"/>
      <c r="I156" s="16"/>
      <c r="J156" s="14"/>
      <c r="K156" s="10" t="s">
        <v>739</v>
      </c>
      <c r="L156" s="1"/>
      <c r="M156" s="1"/>
      <c r="N156" s="1"/>
      <c r="O156" s="1"/>
      <c r="P156" s="1"/>
      <c r="Q156" s="1"/>
      <c r="R156" s="1"/>
      <c r="S156" s="1"/>
      <c r="T156" s="1"/>
      <c r="U156" s="1"/>
    </row>
    <row r="157" spans="1:21" ht="21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</row>
    <row r="158" spans="1:21" ht="21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</row>
    <row r="159" spans="1:21" ht="26" customHeight="1">
      <c r="A159" s="19" t="s">
        <v>740</v>
      </c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"/>
      <c r="M159" s="1"/>
      <c r="N159" s="1"/>
      <c r="O159" s="1"/>
      <c r="P159" s="1"/>
      <c r="Q159" s="1"/>
      <c r="R159" s="1"/>
      <c r="S159" s="1"/>
      <c r="T159" s="1"/>
      <c r="U159" s="1"/>
    </row>
    <row r="160" spans="1:21" ht="21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</row>
    <row r="161" spans="1:21" ht="32" customHeight="1">
      <c r="A161" s="4" t="s">
        <v>741</v>
      </c>
      <c r="B161" s="4" t="s">
        <v>742</v>
      </c>
      <c r="C161" s="4" t="s">
        <v>743</v>
      </c>
      <c r="D161" s="4" t="s">
        <v>744</v>
      </c>
      <c r="E161" s="4" t="s">
        <v>745</v>
      </c>
      <c r="F161" s="4" t="s">
        <v>746</v>
      </c>
      <c r="G161" s="4" t="s">
        <v>747</v>
      </c>
      <c r="H161" s="4" t="s">
        <v>748</v>
      </c>
      <c r="I161" s="4" t="s">
        <v>29</v>
      </c>
      <c r="J161" s="4" t="s">
        <v>749</v>
      </c>
      <c r="K161" s="4" t="s">
        <v>750</v>
      </c>
      <c r="L161" s="1"/>
      <c r="M161" s="1"/>
      <c r="N161" s="1"/>
      <c r="O161" s="1"/>
      <c r="P161" s="1"/>
      <c r="Q161" s="1"/>
      <c r="R161" s="1"/>
      <c r="S161" s="1"/>
      <c r="T161" s="1"/>
      <c r="U161" s="1"/>
    </row>
    <row r="162" spans="1:21" ht="115" customHeight="1">
      <c r="A162" s="11" t="s">
        <v>108</v>
      </c>
      <c r="B162" s="11" t="s">
        <v>751</v>
      </c>
      <c r="C162" s="11" t="s">
        <v>752</v>
      </c>
      <c r="D162" s="26">
        <v>46309</v>
      </c>
      <c r="E162" s="14"/>
      <c r="F162" s="14"/>
      <c r="G162" s="14"/>
      <c r="H162" s="14"/>
      <c r="I162" s="14"/>
      <c r="J162" s="14"/>
      <c r="K162" s="28" t="s">
        <v>753</v>
      </c>
      <c r="L162" s="1"/>
      <c r="M162" s="1"/>
      <c r="N162" s="1"/>
      <c r="O162" s="1"/>
      <c r="P162" s="1"/>
      <c r="Q162" s="1"/>
      <c r="R162" s="1"/>
      <c r="S162" s="1"/>
      <c r="T162" s="1"/>
      <c r="U162" s="1"/>
    </row>
    <row r="163" spans="1:21" ht="115" customHeight="1">
      <c r="A163" s="10" t="s">
        <v>231</v>
      </c>
      <c r="B163" s="10" t="s">
        <v>754</v>
      </c>
      <c r="C163" s="10" t="s">
        <v>755</v>
      </c>
      <c r="D163" s="27">
        <v>46309</v>
      </c>
      <c r="E163" s="14"/>
      <c r="F163" s="14"/>
      <c r="G163" s="14"/>
      <c r="H163" s="14"/>
      <c r="I163" s="14"/>
      <c r="J163" s="14"/>
      <c r="K163" s="29" t="s">
        <v>756</v>
      </c>
      <c r="L163" s="1"/>
      <c r="M163" s="1"/>
      <c r="N163" s="1"/>
      <c r="O163" s="1"/>
      <c r="P163" s="1"/>
      <c r="Q163" s="1"/>
      <c r="R163" s="1"/>
      <c r="S163" s="1"/>
      <c r="T163" s="1"/>
      <c r="U163" s="1"/>
    </row>
    <row r="164" spans="1:21" ht="115" customHeight="1">
      <c r="A164" s="11" t="s">
        <v>183</v>
      </c>
      <c r="B164" s="11" t="s">
        <v>757</v>
      </c>
      <c r="C164" s="11" t="s">
        <v>758</v>
      </c>
      <c r="D164" s="26">
        <v>46309</v>
      </c>
      <c r="E164" s="14"/>
      <c r="F164" s="14"/>
      <c r="G164" s="14"/>
      <c r="H164" s="14"/>
      <c r="I164" s="14"/>
      <c r="J164" s="14"/>
      <c r="K164" s="28" t="s">
        <v>759</v>
      </c>
      <c r="L164" s="1"/>
      <c r="M164" s="1"/>
      <c r="N164" s="1"/>
      <c r="O164" s="1"/>
      <c r="P164" s="1"/>
      <c r="Q164" s="1"/>
      <c r="R164" s="1"/>
      <c r="S164" s="1"/>
      <c r="T164" s="1"/>
      <c r="U164" s="1"/>
    </row>
    <row r="165" spans="1:21" ht="21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</row>
    <row r="166" spans="1:21" ht="21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</row>
    <row r="167" spans="1:21" ht="21" customHeight="1">
      <c r="A167" s="1" t="s">
        <v>760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</row>
  </sheetData>
  <conditionalFormatting sqref="D12:D71">
    <cfRule type="containsText" dxfId="6" priority="1" operator="containsText" text="Not Started"/>
    <cfRule type="containsText" dxfId="5" priority="2" operator="containsText" text="In Progress"/>
    <cfRule type="containsText" dxfId="4" priority="3" operator="containsText" text="Blocked"/>
    <cfRule type="containsText" dxfId="3" priority="4" operator="containsText" text="Completed"/>
  </conditionalFormatting>
  <conditionalFormatting sqref="G12:G71">
    <cfRule type="containsText" dxfId="2" priority="5" operator="containsText" text="Ready"/>
    <cfRule type="containsText" dxfId="1" priority="6" operator="containsText" text="Bad dependency"/>
  </conditionalFormatting>
  <conditionalFormatting sqref="J5">
    <cfRule type="cellIs" dxfId="0" priority="9" operator="greaterThan">
      <formula>0</formula>
    </cfRule>
  </conditionalFormatting>
  <dataValidations count="3">
    <dataValidation type="decimal" sqref="B7" xr:uid="{00000000-0002-0000-0000-000000000000}">
      <formula1>1</formula1>
      <formula2>80</formula2>
    </dataValidation>
    <dataValidation type="list" sqref="D12:D71 D144:D147" xr:uid="{00000000-0002-0000-0000-000001000000}">
      <formula1>"Not Started,In Progress,Blocked,Completed"</formula1>
    </dataValidation>
    <dataValidation type="decimal" sqref="H12:H71" xr:uid="{00000000-0002-0000-0000-000002000000}">
      <formula1>0.1</formula1>
      <formula2>1000</formula2>
    </dataValidation>
  </dataValidations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TrustBench-AI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Mohit Raj</cp:lastModifiedBy>
  <dcterms:created xsi:type="dcterms:W3CDTF">2026-10-15T08:28:30Z</dcterms:created>
  <dcterms:modified xsi:type="dcterms:W3CDTF">2026-10-16T14:49:43Z</dcterms:modified>
</cp:coreProperties>
</file>