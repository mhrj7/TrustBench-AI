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rustBench-AI" sheetId="1" state="visible" r:id="rId1"/>
  </sheets>
  <definedNames/>
</workbook>
</file>

<file path=xl/styles.xml><?xml version="1.0" encoding="utf-8"?>
<styleSheet xmlns="http://schemas.openxmlformats.org/spreadsheetml/2006/main">
  <numFmts count="4">
    <numFmt numFmtId="164" formatCode="0.0"/>
    <numFmt numFmtId="165" formatCode="dd-mmm-yy"/>
    <numFmt numFmtId="166" formatCode="0.0000"/>
    <numFmt numFmtId="167" formatCode="dd-mmm-yyyy"/>
  </numFmts>
  <fonts count="8">
    <font>
      <name val="Carlito"/>
      <sz val="11"/>
    </font>
    <font>
      <name val="Arial"/>
      <color rgb="FF243447"/>
      <sz val="10"/>
    </font>
    <font>
      <name val="Arial"/>
      <b val="1"/>
      <color rgb="FF284B63"/>
      <sz val="16"/>
    </font>
    <font>
      <name val="Arial"/>
      <b val="1"/>
      <color rgb="FFFFFFFF"/>
      <sz val="10"/>
    </font>
    <font>
      <name val="Arial"/>
      <b val="1"/>
      <color rgb="FF284B63"/>
      <sz val="15"/>
    </font>
    <font>
      <name val="Arial"/>
      <color rgb="FF245A9C"/>
      <sz val="10"/>
    </font>
    <font>
      <name val="Arial"/>
      <b val="1"/>
      <color rgb="FFFFFFFF"/>
      <sz val="11"/>
    </font>
    <font>
      <name val="Arial"/>
      <b val="1"/>
      <color rgb="FF243447"/>
      <sz val="10"/>
    </font>
  </fonts>
  <fills count="5">
    <fill>
      <patternFill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3" fillId="2" borderId="2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3" borderId="3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164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1" fillId="4" borderId="3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>
          <bgColor rgb="FFFFF4D6"/>
        </patternFill>
      </fill>
    </dxf>
    <dxf>
      <fill>
        <patternFill>
          <bgColor rgb="FFE5EFFA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ont>
        <b val="1"/>
        <color rgb="FF9C2424"/>
      </font>
      <fill>
        <patternFill>
          <bgColor rgb="FFFCE5E5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B_Tasks" displayName="TB_Tasks" ref="A11:U71" headerRowCount="1" totalsRowCount="0" totalsRowShown="0">
  <autoFilter ref="A11:U71"/>
  <tableColumns count="21">
    <tableColumn id="1" name="Task ID"/>
    <tableColumn id="2" name="Phase"/>
    <tableColumn id="3" name="Task / deliverable"/>
    <tableColumn id="4" name="Status"/>
    <tableColumn id="5" name="Dependency 1"/>
    <tableColumn id="6" name="Dependency 2"/>
    <tableColumn id="7" name="Readiness (formula)"/>
    <tableColumn id="8" name="Estimate (hours)"/>
    <tableColumn id="9" name="Owner"/>
    <tableColumn id="10" name="Due date"/>
    <tableColumn id="11" name="Implementation steps"/>
    <tableColumn id="12" name="Tools / stack"/>
    <tableColumn id="13" name="Data / inputs"/>
    <tableColumn id="14" name="Acceptance criteria"/>
    <tableColumn id="15" name="Expected evidence"/>
    <tableColumn id="16" name="Risk / fallback"/>
    <tableColumn id="17" name="Scope"/>
    <tableColumn id="18" name="Source IDs"/>
    <tableColumn id="19" name="Actual evidence link"/>
    <tableColumn id="20" name="Blocker / next action"/>
    <tableColumn id="21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_Phases" displayName="TB_Phases" ref="A78:J88" headerRowCount="1" totalsRowCount="0" totalsRowShown="0">
  <autoFilter ref="A78:J88"/>
  <tableColumns count="10">
    <tableColumn id="1" name="Phase"/>
    <tableColumn id="2" name="Tasks"/>
    <tableColumn id="3" name="Completed"/>
    <tableColumn id="4" name="Not Started"/>
    <tableColumn id="5" name="In Progress"/>
    <tableColumn id="6" name="Blocked"/>
    <tableColumn id="7" name="Complete %"/>
    <tableColumn id="8" name="Planned h"/>
    <tableColumn id="9" name="Remaining h"/>
    <tableColumn id="10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_Data" displayName="TB_Data" ref="A122:G125" headerRowCount="1" totalsRowCount="0" totalsRowShown="0">
  <autoFilter ref="A122:G125"/>
  <tableColumns count="7">
    <tableColumn id="1" name="Data ID"/>
    <tableColumn id="2" name="Dataset"/>
    <tableColumn id="3" name="Purpose"/>
    <tableColumn id="4" name="Source IDs"/>
    <tableColumn id="5" name="Acquisition"/>
    <tableColumn id="6" name="Split / license / handling"/>
    <tableColumn id="7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_Metrics" displayName="TB_Metrics" ref="A130:K137" headerRowCount="1" totalsRowCount="0" totalsRowShown="0">
  <autoFilter ref="A130:K137"/>
  <tableColumns count="11">
    <tableColumn id="1" name="Metric ID"/>
    <tableColumn id="2" name="Metric"/>
    <tableColumn id="3" name="Definition / denominator"/>
    <tableColumn id="4" name="Better direction"/>
    <tableColumn id="5" name="Baseline value"/>
    <tableColumn id="6" name="Candidate value"/>
    <tableColumn id="7" name="Delta (formula)"/>
    <tableColumn id="8" name="Unit"/>
    <tableColumn id="9" name="Target (optional)"/>
    <tableColumn id="10" name="Run / evidence link"/>
    <tableColumn id="11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_Experiments" displayName="TB_Experiments" ref="A143:K147" headerRowCount="1" totalsRowCount="0" totalsRowShown="0">
  <autoFilter ref="A143:K147"/>
  <tableColumns count="11">
    <tableColumn id="1" name="Experiment ID"/>
    <tableColumn id="2" name="Research question"/>
    <tableColumn id="3" name="Comparators"/>
    <tableColumn id="4" name="Status"/>
    <tableColumn id="5" name="Config / run IDs"/>
    <tableColumn id="6" name="Result reference"/>
    <tableColumn id="7" name="Decision / finding"/>
    <tableColumn id="8" name="Compute used"/>
    <tableColumn id="9" name="Reviewer"/>
    <tableColumn id="10" name="Review date"/>
    <tableColumn id="11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_Risks" displayName="TB_Risks" ref="A152:K156" headerRowCount="1" totalsRowCount="0" totalsRowShown="0">
  <autoFilter ref="A152:K156"/>
  <tableColumns count="11">
    <tableColumn id="1" name="Risk ID"/>
    <tableColumn id="2" name="Risk"/>
    <tableColumn id="3" name="Trigger / concern"/>
    <tableColumn id="4" name="Owner"/>
    <tableColumn id="5" name="Status"/>
    <tableColumn id="6" name="Issue reference"/>
    <tableColumn id="7" name="Next action"/>
    <tableColumn id="8" name="Review effort h"/>
    <tableColumn id="9" name="Due"/>
    <tableColumn id="10" name="Evidence"/>
    <tableColumn id="11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_Sources" displayName="TB_Sources" ref="A161:K164" headerRowCount="1" totalsRowCount="0" totalsRowShown="0">
  <autoFilter ref="A161:K164"/>
  <tableColumns count="11">
    <tableColumn id="1" name="Source ID"/>
    <tableColumn id="2" name="Primary reference"/>
    <tableColumn id="3" name="Use / verification limitation"/>
    <tableColumn id="4" name="Checked on"/>
    <tableColumn id="5" name="Pinned version"/>
    <tableColumn id="6" name="Local access result"/>
    <tableColumn id="7" name="License record"/>
    <tableColumn id="8" name="Config reference"/>
    <tableColumn id="9" name="Owner"/>
    <tableColumn id="10" name="Notes"/>
    <tableColumn id="11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/Relationships>
</file>

<file path=xl/worksheets/sheet1.xml><?xml version="1.0" encoding="utf-8"?>
<worksheet xmlns="http://schemas.openxmlformats.org/spreadsheetml/2006/main">
  <sheetPr>
    <tabColor rgb="FF284B63"/>
    <outlinePr summaryBelow="1" summaryRight="1"/>
    <pageSetUpPr/>
  </sheetPr>
  <dimension ref="A1:U167"/>
  <sheetViews>
    <sheetView showGridLines="0" workbookViewId="0">
      <pane xSplit="3" ySplit="11" topLeftCell="D12" activePane="bottomRigh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38" customWidth="1" min="3" max="3"/>
    <col width="19" customWidth="1" min="4" max="4"/>
    <col width="13" customWidth="1" min="5" max="5"/>
    <col width="13" customWidth="1" min="6" max="6"/>
    <col width="24" customWidth="1" min="7" max="7"/>
    <col width="13" customWidth="1" min="8" max="8"/>
    <col width="19" customWidth="1" min="9" max="9"/>
    <col width="16" customWidth="1" min="10" max="10"/>
    <col width="76" customWidth="1" min="11" max="11"/>
    <col width="34" customWidth="1" min="12" max="12"/>
    <col width="48" customWidth="1" min="13" max="13"/>
    <col width="70" customWidth="1" min="14" max="14"/>
    <col width="42" customWidth="1" min="15" max="15"/>
    <col width="53" customWidth="1" min="16" max="16"/>
    <col width="14" customWidth="1" min="17" max="17"/>
    <col width="20" customWidth="1" min="18" max="18"/>
    <col width="50" customWidth="1" min="19" max="19"/>
    <col width="48" customWidth="1" min="20" max="20"/>
    <col width="19" customWidth="1" min="21" max="2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29" customHeight="1">
      <c r="A2" s="3" t="inlineStr">
        <is>
          <t>TrustBench-AI — implementation plan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 ht="8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32" customHeight="1">
      <c r="A4" s="9" t="inlineStr">
        <is>
          <t>Tasks</t>
        </is>
      </c>
      <c r="B4" s="9" t="inlineStr">
        <is>
          <t>Completed</t>
        </is>
      </c>
      <c r="C4" s="9" t="inlineStr">
        <is>
          <t>Complete %</t>
        </is>
      </c>
      <c r="D4" s="9" t="inlineStr">
        <is>
          <t>Blocked</t>
        </is>
      </c>
      <c r="E4" s="9" t="inlineStr">
        <is>
          <t>Planned h</t>
        </is>
      </c>
      <c r="F4" s="9" t="inlineStr">
        <is>
          <t>Remaining h</t>
        </is>
      </c>
      <c r="G4" s="9" t="inlineStr">
        <is>
          <t>Core complete %</t>
        </is>
      </c>
      <c r="H4" s="9" t="inlineStr">
        <is>
          <t>Core weeks left</t>
        </is>
      </c>
      <c r="I4" s="9" t="inlineStr">
        <is>
          <t>Overdue</t>
        </is>
      </c>
      <c r="J4" s="9" t="inlineStr">
        <is>
          <t>Evidence gaps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30" customHeight="1">
      <c r="A5" s="12">
        <f>COUNTA($A$12:$A$71)</f>
        <v/>
      </c>
      <c r="B5" s="12">
        <f>COUNTIFS($D$12:$D$71,"Completed")</f>
        <v/>
      </c>
      <c r="C5" s="41">
        <f>IF(A5=0,0,B5/A5)</f>
        <v/>
      </c>
      <c r="D5" s="12">
        <f>COUNTIFS($D$12:$D$71,"Blocked")</f>
        <v/>
      </c>
      <c r="E5" s="12">
        <f>SUM($H$12:$H$71)</f>
        <v/>
      </c>
      <c r="F5" s="12">
        <f>SUMIFS($H$12:$H$71,$D$12:$D$71,"&lt;&gt;Completed")</f>
        <v/>
      </c>
      <c r="G5" s="41">
        <f>COUNTIFS($Q$12:$Q$71,"Core",$D$12:$D$71,"Completed")/COUNTIFS($Q$12:$Q$71,"Core")</f>
        <v/>
      </c>
      <c r="H5" s="42">
        <f>IF(B7&gt;0,SUMIFS($H$12:$H$71,$Q$12:$Q$71,"Core",$D$12:$D$71,"&lt;&gt;Completed")/B7,"Set hours/week")</f>
        <v/>
      </c>
      <c r="I5" s="12">
        <f>COUNTIFS($J$12:$J$71,"&gt;0",$J$12:$J$71,"&lt;"&amp;TODAY(),$D$12:$D$71,"&lt;&gt;Completed")</f>
        <v/>
      </c>
      <c r="J5" s="12">
        <f>COUNTIFS($D$12:$D$71,"Completed")-COUNTIFS($D$12:$D$71,"Completed",$U$12:$U$71,1)</f>
        <v/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21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21" customHeight="1">
      <c r="A7" s="2" t="inlineStr">
        <is>
          <t>Hours/week</t>
        </is>
      </c>
      <c r="B7" s="15" t="n">
        <v>12</v>
      </c>
      <c r="C7" s="2" t="inlineStr">
        <is>
          <t>Effort is an editable planning estimate. Dates and results start blank.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32" customHeight="1">
      <c r="A8" s="17" t="inlineStr">
        <is>
          <t>Phases: A76</t>
        </is>
      </c>
      <c r="B8" s="17" t="inlineStr">
        <is>
          <t>How to use: A91</t>
        </is>
      </c>
      <c r="C8" s="17" t="inlineStr">
        <is>
          <t>Resources &amp; hardware: A110</t>
        </is>
      </c>
      <c r="D8" s="17" t="inlineStr">
        <is>
          <t>Datasets: A120</t>
        </is>
      </c>
      <c r="E8" s="17" t="inlineStr">
        <is>
          <t>Metrics: A128</t>
        </is>
      </c>
      <c r="F8" s="17" t="inlineStr">
        <is>
          <t>Experiments: A141</t>
        </is>
      </c>
      <c r="G8" s="17" t="inlineStr">
        <is>
          <t>Risks: A150</t>
        </is>
      </c>
      <c r="H8" s="17" t="inlineStr">
        <is>
          <t>Sources: A159</t>
        </is>
      </c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22" customHeight="1">
      <c r="A9" s="2" t="inlineStr">
        <is>
          <t>Amber cells are editable. Mark Completed only after acceptance checks and an evidence link. Filter Readiness = Ready to choose the next task.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21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38" customHeight="1">
      <c r="A11" s="9" t="inlineStr">
        <is>
          <t>Task ID</t>
        </is>
      </c>
      <c r="B11" s="9" t="inlineStr">
        <is>
          <t>Phase</t>
        </is>
      </c>
      <c r="C11" s="9" t="inlineStr">
        <is>
          <t>Task / deliverable</t>
        </is>
      </c>
      <c r="D11" s="9" t="inlineStr">
        <is>
          <t>Status</t>
        </is>
      </c>
      <c r="E11" s="9" t="inlineStr">
        <is>
          <t>Dependency 1</t>
        </is>
      </c>
      <c r="F11" s="9" t="inlineStr">
        <is>
          <t>Dependency 2</t>
        </is>
      </c>
      <c r="G11" s="9" t="inlineStr">
        <is>
          <t>Readiness (formula)</t>
        </is>
      </c>
      <c r="H11" s="9" t="inlineStr">
        <is>
          <t>Estimate (hours)</t>
        </is>
      </c>
      <c r="I11" s="9" t="inlineStr">
        <is>
          <t>Owner</t>
        </is>
      </c>
      <c r="J11" s="9" t="inlineStr">
        <is>
          <t>Due date</t>
        </is>
      </c>
      <c r="K11" s="9" t="inlineStr">
        <is>
          <t>Implementation steps</t>
        </is>
      </c>
      <c r="L11" s="9" t="inlineStr">
        <is>
          <t>Tools / stack</t>
        </is>
      </c>
      <c r="M11" s="9" t="inlineStr">
        <is>
          <t>Data / inputs</t>
        </is>
      </c>
      <c r="N11" s="9" t="inlineStr">
        <is>
          <t>Acceptance criteria</t>
        </is>
      </c>
      <c r="O11" s="9" t="inlineStr">
        <is>
          <t>Expected evidence</t>
        </is>
      </c>
      <c r="P11" s="9" t="inlineStr">
        <is>
          <t>Risk / fallback</t>
        </is>
      </c>
      <c r="Q11" s="9" t="inlineStr">
        <is>
          <t>Scope</t>
        </is>
      </c>
      <c r="R11" s="9" t="inlineStr">
        <is>
          <t>Source IDs</t>
        </is>
      </c>
      <c r="S11" s="9" t="inlineStr">
        <is>
          <t>Actual evidence link</t>
        </is>
      </c>
      <c r="T11" s="9" t="inlineStr">
        <is>
          <t>Blocker / next action</t>
        </is>
      </c>
      <c r="U11" s="9" t="inlineStr">
        <is>
          <t>Evidence present (1/0)</t>
        </is>
      </c>
    </row>
    <row r="12" ht="64" customHeight="1">
      <c r="A12" s="21" t="inlineStr">
        <is>
          <t>TB-001</t>
        </is>
      </c>
      <c r="B12" s="21" t="inlineStr">
        <is>
          <t>01 Scope &amp; setup</t>
        </is>
      </c>
      <c r="C12" s="21" t="inlineStr">
        <is>
          <t>Define supported agent workflows</t>
        </is>
      </c>
      <c r="D12" s="22" t="inlineStr">
        <is>
          <t>Completed</t>
        </is>
      </c>
      <c r="E12" s="21" t="str"/>
      <c r="F12" s="21" t="str"/>
      <c r="G12" s="21">
        <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/>
      </c>
      <c r="H12" s="43" t="n">
        <v>3</v>
      </c>
      <c r="I12" s="22" t="str"/>
      <c r="J12" s="44" t="n"/>
      <c r="K12" s="21" t="inlineStr">
        <is>
          <t>Choose document lookup, mock email drafting and simulated record updates. Specify user intent and permitted side effects.</t>
        </is>
      </c>
      <c r="L12" s="21" t="inlineStr">
        <is>
          <t>Markdown, JSON Schema</t>
        </is>
      </c>
      <c r="M12" s="21" t="inlineStr">
        <is>
          <t>Three synthetic workflow specifications</t>
        </is>
      </c>
      <c r="N12" s="21" t="inlineStr">
        <is>
          <t>Each workflow has observable success and forbidden-action rules.</t>
        </is>
      </c>
      <c r="O12" s="21" t="inlineStr">
        <is>
          <t>docs/scope.md</t>
        </is>
      </c>
      <c r="P12" s="21" t="inlineStr">
        <is>
          <t>Avoid real external actions in benchmark runs.</t>
        </is>
      </c>
      <c r="Q12" s="21" t="inlineStr">
        <is>
          <t>Core</t>
        </is>
      </c>
      <c r="R12" s="21" t="str"/>
      <c r="S12" s="22" t="inlineStr">
        <is>
          <t>/Volumes/MHRJ/TrustBench-AI/docs/scope.md</t>
        </is>
      </c>
      <c r="T12" s="22" t="str"/>
      <c r="U12" s="19">
        <f>IF(LEN(S12)&gt;0,1,0)</f>
        <v/>
      </c>
    </row>
    <row r="13" ht="64" customHeight="1">
      <c r="A13" s="19" t="inlineStr">
        <is>
          <t>TB-002</t>
        </is>
      </c>
      <c r="B13" s="19" t="inlineStr">
        <is>
          <t>01 Scope &amp; setup</t>
        </is>
      </c>
      <c r="C13" s="19" t="inlineStr">
        <is>
          <t>Map threat model and prior work</t>
        </is>
      </c>
      <c r="D13" s="23" t="inlineStr">
        <is>
          <t>Completed</t>
        </is>
      </c>
      <c r="E13" s="19" t="inlineStr">
        <is>
          <t>TB-001</t>
        </is>
      </c>
      <c r="F13" s="19" t="str"/>
      <c r="G13" s="19">
        <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f>
        <v/>
      </c>
      <c r="H13" s="45" t="n">
        <v>5</v>
      </c>
      <c r="I13" s="23" t="str"/>
      <c r="J13" s="46" t="n"/>
      <c r="K13" s="19" t="inlineStr">
        <is>
          <t>Document trusted user input, untrusted retrieval/tool outputs, attacker control and assets. Compare AgentDojo and CaMeL.</t>
        </is>
      </c>
      <c r="L13" s="19" t="inlineStr">
        <is>
          <t>Threat-model diagram</t>
        </is>
      </c>
      <c r="M13" s="19" t="inlineStr">
        <is>
          <t>AgentDojo and CaMeL sources</t>
        </is>
      </c>
      <c r="N13" s="19" t="inlineStr">
        <is>
          <t>Attack surface and excluded threats are explicit; no novelty claim.</t>
        </is>
      </c>
      <c r="O13" s="19" t="inlineStr">
        <is>
          <t>docs/threat-model.md</t>
        </is>
      </c>
      <c r="P13" s="19" t="inlineStr">
        <is>
          <t>Provenance tags alone do not prove information-flow security.</t>
        </is>
      </c>
      <c r="Q13" s="19" t="inlineStr">
        <is>
          <t>Core</t>
        </is>
      </c>
      <c r="R13" s="19" t="inlineStr">
        <is>
          <t>TB-S1, TB-S2</t>
        </is>
      </c>
      <c r="S13" s="23" t="inlineStr">
        <is>
          <t>/Volumes/MHRJ/TrustBench-AI/docs/threat-model.md</t>
        </is>
      </c>
      <c r="T13" s="23" t="str"/>
      <c r="U13" s="19">
        <f>IF(LEN(S13)&gt;0,1,0)</f>
        <v/>
      </c>
    </row>
    <row r="14" ht="64" customHeight="1">
      <c r="A14" s="20" t="inlineStr">
        <is>
          <t>TB-003</t>
        </is>
      </c>
      <c r="B14" s="20" t="inlineStr">
        <is>
          <t>01 Scope &amp; setup</t>
        </is>
      </c>
      <c r="C14" s="20" t="inlineStr">
        <is>
          <t>Lock development environment</t>
        </is>
      </c>
      <c r="D14" s="23" t="inlineStr">
        <is>
          <t>Completed</t>
        </is>
      </c>
      <c r="E14" s="20" t="inlineStr">
        <is>
          <t>TB-001</t>
        </is>
      </c>
      <c r="F14" s="20" t="str"/>
      <c r="G14" s="20">
        <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f>
        <v/>
      </c>
      <c r="H14" s="45" t="n">
        <v>3</v>
      </c>
      <c r="I14" s="23" t="str"/>
      <c r="J14" s="46" t="n"/>
      <c r="K14" s="20" t="inlineStr">
        <is>
          <t>Create package, dependency lock, linting, deterministic fixture tests and separate dev/test config.</t>
        </is>
      </c>
      <c r="L14" s="20" t="inlineStr">
        <is>
          <t>Python, uv, pytest, Docker</t>
        </is>
      </c>
      <c r="M14" s="20" t="inlineStr">
        <is>
          <t>Pinned Python and library versions</t>
        </is>
      </c>
      <c r="N14" s="20" t="inlineStr">
        <is>
          <t>Fresh checkout installs and runs one fixture without credentials.</t>
        </is>
      </c>
      <c r="O14" s="20" t="inlineStr">
        <is>
          <t>lockfile and CI log</t>
        </is>
      </c>
      <c r="P14" s="20" t="inlineStr">
        <is>
          <t>Pin a compatible set, not untested latest versions.</t>
        </is>
      </c>
      <c r="Q14" s="20" t="inlineStr">
        <is>
          <t>Core</t>
        </is>
      </c>
      <c r="R14" s="20" t="str"/>
      <c r="S14" s="23" t="inlineStr">
        <is>
          <t>/Volumes/MHRJ/TrustBench-AI/docs/development-environment.md</t>
        </is>
      </c>
      <c r="T14" s="23" t="str"/>
      <c r="U14" s="19">
        <f>IF(LEN(S14)&gt;0,1,0)</f>
        <v/>
      </c>
    </row>
    <row r="15" ht="64" customHeight="1">
      <c r="A15" s="19" t="inlineStr">
        <is>
          <t>TB-004</t>
        </is>
      </c>
      <c r="B15" s="19" t="inlineStr">
        <is>
          <t>01 Scope &amp; setup</t>
        </is>
      </c>
      <c r="C15" s="19" t="inlineStr">
        <is>
          <t>Define run and trace contracts</t>
        </is>
      </c>
      <c r="D15" s="23" t="inlineStr">
        <is>
          <t>Completed</t>
        </is>
      </c>
      <c r="E15" s="19" t="inlineStr">
        <is>
          <t>TB-002</t>
        </is>
      </c>
      <c r="F15" s="19" t="inlineStr">
        <is>
          <t>TB-003</t>
        </is>
      </c>
      <c r="G15" s="19">
        <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f>
        <v/>
      </c>
      <c r="H15" s="45" t="n">
        <v>4</v>
      </c>
      <c r="I15" s="23" t="str"/>
      <c r="J15" s="46" t="n"/>
      <c r="K15" s="19" t="inlineStr">
        <is>
          <t>Specify run_id, task_id, model revision, prompt hash, seed, tool spans, policy decisions and evaluator version.</t>
        </is>
      </c>
      <c r="L15" s="19" t="inlineStr">
        <is>
          <t>Pydantic, JSONL</t>
        </is>
      </c>
      <c r="M15" s="19" t="inlineStr">
        <is>
          <t>Task and trajectory schemas</t>
        </is>
      </c>
      <c r="N15" s="19" t="inlineStr">
        <is>
          <t>Invalid events are rejected; a trace reconstructs all executed tool calls.</t>
        </is>
      </c>
      <c r="O15" s="19" t="inlineStr">
        <is>
          <t>schemas/ and trace fixture</t>
        </is>
      </c>
      <c r="P15" s="19" t="inlineStr">
        <is>
          <t>Never store API keys in traces.</t>
        </is>
      </c>
      <c r="Q15" s="19" t="inlineStr">
        <is>
          <t>Core</t>
        </is>
      </c>
      <c r="R15" s="19" t="str"/>
      <c r="S15" s="23" t="inlineStr">
        <is>
          <t>/Volumes/MHRJ/TrustBench-AI/docs/trace-contract.md</t>
        </is>
      </c>
      <c r="T15" s="23" t="str"/>
      <c r="U15" s="19">
        <f>IF(LEN(S15)&gt;0,1,0)</f>
        <v/>
      </c>
    </row>
    <row r="16" ht="64" customHeight="1">
      <c r="A16" s="20" t="inlineStr">
        <is>
          <t>TB-005</t>
        </is>
      </c>
      <c r="B16" s="20" t="inlineStr">
        <is>
          <t>01 Scope &amp; setup</t>
        </is>
      </c>
      <c r="C16" s="20" t="inlineStr">
        <is>
          <t>Set compute and spend limits</t>
        </is>
      </c>
      <c r="D16" s="23" t="inlineStr">
        <is>
          <t>Completed</t>
        </is>
      </c>
      <c r="E16" s="20" t="inlineStr">
        <is>
          <t>TB-003</t>
        </is>
      </c>
      <c r="F16" s="20" t="str"/>
      <c r="G16" s="20">
        <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f>
        <v/>
      </c>
      <c r="H16" s="45" t="n">
        <v>2</v>
      </c>
      <c r="I16" s="23" t="str"/>
      <c r="J16" s="46" t="n"/>
      <c r="K16" s="20" t="inlineStr">
        <is>
          <t>Measure one representative request. Set maximum calls, tokens, retries, elapsed time and currency budget per run.</t>
        </is>
      </c>
      <c r="L16" s="20" t="inlineStr">
        <is>
          <t>Provider usage API, local ledger</t>
        </is>
      </c>
      <c r="M16" s="20" t="inlineStr">
        <is>
          <t>Current provider pricing and pilot logs</t>
        </is>
      </c>
      <c r="N16" s="20" t="inlineStr">
        <is>
          <t>Budget exhaustion cancels pending work and records an explicit outcome.</t>
        </is>
      </c>
      <c r="O16" s="20" t="inlineStr">
        <is>
          <t>configs/budget.yaml</t>
        </is>
      </c>
      <c r="P16" s="20" t="inlineStr">
        <is>
          <t>API costs and rate limits must be checked at execution time.</t>
        </is>
      </c>
      <c r="Q16" s="20" t="inlineStr">
        <is>
          <t>Core</t>
        </is>
      </c>
      <c r="R16" s="20" t="str"/>
      <c r="S16" s="23" t="inlineStr">
        <is>
          <t>/Volumes/MHRJ/TrustBench-AI/configs/budget.yaml</t>
        </is>
      </c>
      <c r="T16" s="23" t="n"/>
      <c r="U16" s="19">
        <f>IF(LEN(S16)&gt;0,1,0)</f>
        <v/>
      </c>
    </row>
    <row r="17" ht="64" customHeight="1">
      <c r="A17" s="19" t="inlineStr">
        <is>
          <t>TB-006</t>
        </is>
      </c>
      <c r="B17" s="19" t="inlineStr">
        <is>
          <t>01 Scope &amp; setup</t>
        </is>
      </c>
      <c r="C17" s="19" t="inlineStr">
        <is>
          <t>Freeze experiment protocol</t>
        </is>
      </c>
      <c r="D17" s="23" t="inlineStr">
        <is>
          <t>Completed</t>
        </is>
      </c>
      <c r="E17" s="19" t="inlineStr">
        <is>
          <t>TB-002</t>
        </is>
      </c>
      <c r="F17" s="19" t="inlineStr">
        <is>
          <t>TB-004</t>
        </is>
      </c>
      <c r="G17" s="19">
        <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f>
        <v/>
      </c>
      <c r="H17" s="45" t="n">
        <v>4</v>
      </c>
      <c r="I17" s="23" t="str"/>
      <c r="J17" s="46" t="n"/>
      <c r="K17" s="19" t="inlineStr">
        <is>
          <t>Define baseline versus gateway comparisons, primary metrics, paired tasks and model-version policy before tuning.</t>
        </is>
      </c>
      <c r="L17" s="19" t="inlineStr">
        <is>
          <t>YAML, experiment registry</t>
        </is>
      </c>
      <c r="M17" s="19" t="inlineStr">
        <is>
          <t>Research question and threat model</t>
        </is>
      </c>
      <c r="N17" s="19" t="inlineStr">
        <is>
          <t>Protocol specifies exclusions, uncertainty method and holdout policy.</t>
        </is>
      </c>
      <c r="O17" s="19" t="inlineStr">
        <is>
          <t>protocol/preregister.md</t>
        </is>
      </c>
      <c r="P17" s="19" t="inlineStr">
        <is>
          <t>Do not select winning metrics after seeing holdout results.</t>
        </is>
      </c>
      <c r="Q17" s="19" t="inlineStr">
        <is>
          <t>Core</t>
        </is>
      </c>
      <c r="R17" s="19" t="str"/>
      <c r="S17" s="23" t="inlineStr">
        <is>
          <t>/Volumes/MHRJ/TrustBench-AI/protocol/preregister.md</t>
        </is>
      </c>
      <c r="T17" s="23" t="str"/>
      <c r="U17" s="19">
        <f>IF(LEN(S17)&gt;0,1,0)</f>
        <v/>
      </c>
    </row>
    <row r="18" ht="64" customHeight="1">
      <c r="A18" s="21" t="inlineStr">
        <is>
          <t>TB-007</t>
        </is>
      </c>
      <c r="B18" s="21" t="inlineStr">
        <is>
          <t>02 Data &amp; fixtures</t>
        </is>
      </c>
      <c r="C18" s="21" t="inlineStr">
        <is>
          <t>Acquire benchmark and permissions</t>
        </is>
      </c>
      <c r="D18" s="22" t="inlineStr">
        <is>
          <t>Completed</t>
        </is>
      </c>
      <c r="E18" s="21" t="inlineStr">
        <is>
          <t>TB-006</t>
        </is>
      </c>
      <c r="F18" s="21" t="str"/>
      <c r="G18" s="21">
        <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f>
        <v/>
      </c>
      <c r="H18" s="43" t="n">
        <v>3</v>
      </c>
      <c r="I18" s="22" t="str"/>
      <c r="J18" s="44" t="n"/>
      <c r="K18" s="21" t="inlineStr">
        <is>
          <t>Pin AgentDojo commit, inspect license and task setup, and record the chosen suites and exclusions.</t>
        </is>
      </c>
      <c r="L18" s="21" t="inlineStr">
        <is>
          <t>Git, AgentDojo</t>
        </is>
      </c>
      <c r="M18" s="21" t="inlineStr">
        <is>
          <t>Official benchmark repository</t>
        </is>
      </c>
      <c r="N18" s="21" t="inlineStr">
        <is>
          <t>Manifest contains commit, license, suite IDs and download steps.</t>
        </is>
      </c>
      <c r="O18" s="21" t="inlineStr">
        <is>
          <t>data/manifest.json</t>
        </is>
      </c>
      <c r="P18" s="21" t="inlineStr">
        <is>
          <t>Do not label a subset as the full benchmark.</t>
        </is>
      </c>
      <c r="Q18" s="21" t="inlineStr">
        <is>
          <t>Core</t>
        </is>
      </c>
      <c r="R18" s="21" t="inlineStr">
        <is>
          <t>TB-S1</t>
        </is>
      </c>
      <c r="S18" s="22" t="inlineStr">
        <is>
          <t>/Volumes/MHRJ/TrustBench-AI/data/manifest.json</t>
        </is>
      </c>
      <c r="T18" s="22" t="str"/>
      <c r="U18" s="19">
        <f>IF(LEN(S18)&gt;0,1,0)</f>
        <v/>
      </c>
    </row>
    <row r="19" ht="64" customHeight="1">
      <c r="A19" s="19" t="inlineStr">
        <is>
          <t>TB-008</t>
        </is>
      </c>
      <c r="B19" s="19" t="inlineStr">
        <is>
          <t>02 Data &amp; fixtures</t>
        </is>
      </c>
      <c r="C19" s="19" t="inlineStr">
        <is>
          <t>Create local benign task set</t>
        </is>
      </c>
      <c r="D19" s="23" t="inlineStr">
        <is>
          <t>Completed</t>
        </is>
      </c>
      <c r="E19" s="19" t="inlineStr">
        <is>
          <t>TB-007</t>
        </is>
      </c>
      <c r="F19" s="19" t="str"/>
      <c r="G19" s="19">
        <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f>
        <v/>
      </c>
      <c r="H19" s="45" t="n">
        <v>5</v>
      </c>
      <c r="I19" s="23" t="str"/>
      <c r="J19" s="46" t="n"/>
      <c r="K19" s="19" t="inlineStr">
        <is>
          <t>Build synthetic users, documents and tool state with explicit expected outcomes for each workflow.</t>
        </is>
      </c>
      <c r="L19" s="19" t="inlineStr">
        <is>
          <t>SQLite, JSON fixtures</t>
        </is>
      </c>
      <c r="M19" s="19" t="inlineStr">
        <is>
          <t>No real personal data</t>
        </is>
      </c>
      <c r="N19" s="19" t="inlineStr">
        <is>
          <t>Every task has an independent state-based success checker.</t>
        </is>
      </c>
      <c r="O19" s="19" t="inlineStr">
        <is>
          <t>data/benign.jsonl</t>
        </is>
      </c>
      <c r="P19" s="19" t="inlineStr">
        <is>
          <t>Avoid model-generated answers serving as sole ground truth.</t>
        </is>
      </c>
      <c r="Q19" s="19" t="inlineStr">
        <is>
          <t>Core</t>
        </is>
      </c>
      <c r="R19" s="19" t="str"/>
      <c r="S19" s="23" t="inlineStr">
        <is>
          <t>/Volumes/MHRJ/TrustBench-AI/data/benign.jsonl</t>
        </is>
      </c>
      <c r="T19" s="23" t="n"/>
      <c r="U19" s="19">
        <f>IF(LEN(S19)&gt;0,1,0)</f>
        <v/>
      </c>
    </row>
    <row r="20" ht="64" customHeight="1">
      <c r="A20" s="20" t="inlineStr">
        <is>
          <t>TB-009</t>
        </is>
      </c>
      <c r="B20" s="20" t="inlineStr">
        <is>
          <t>02 Data &amp; fixtures</t>
        </is>
      </c>
      <c r="C20" s="20" t="inlineStr">
        <is>
          <t>Build controlled injection fixtures</t>
        </is>
      </c>
      <c r="D20" s="23" t="inlineStr">
        <is>
          <t>Completed</t>
        </is>
      </c>
      <c r="E20" s="20" t="inlineStr">
        <is>
          <t>TB-002</t>
        </is>
      </c>
      <c r="F20" s="20" t="inlineStr">
        <is>
          <t>TB-008</t>
        </is>
      </c>
      <c r="G20" s="20">
        <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f>
        <v/>
      </c>
      <c r="H20" s="45" t="n">
        <v>5</v>
      </c>
      <c r="I20" s="23" t="str"/>
      <c r="J20" s="46" t="n"/>
      <c r="K20" s="20" t="inlineStr">
        <is>
          <t>Add untrusted text that tries to alter recipient, tool choice or allowed destination. Keep exfiltration targets as local sinks.</t>
        </is>
      </c>
      <c r="L20" s="20" t="inlineStr">
        <is>
          <t>Fixture generator, pytest</t>
        </is>
      </c>
      <c r="M20" s="20" t="inlineStr">
        <is>
          <t>Synthetic documents and mock tools</t>
        </is>
      </c>
      <c r="N20" s="20" t="inlineStr">
        <is>
          <t>Each case labels entry point, attacker goal and allowed behavior.</t>
        </is>
      </c>
      <c r="O20" s="20" t="inlineStr">
        <is>
          <t>data/attacks.jsonl</t>
        </is>
      </c>
      <c r="P20" s="20" t="inlineStr">
        <is>
          <t>Exercise attacks only against the isolated test environment.</t>
        </is>
      </c>
      <c r="Q20" s="20" t="inlineStr">
        <is>
          <t>Core</t>
        </is>
      </c>
      <c r="R20" s="20" t="str"/>
      <c r="S20" s="23" t="inlineStr">
        <is>
          <t>/Volumes/MHRJ/TrustBench-AI/data/attacks.jsonl</t>
        </is>
      </c>
      <c r="T20" s="23" t="n"/>
      <c r="U20" s="19">
        <f>IF(LEN(S20)&gt;0,1,0)</f>
        <v/>
      </c>
    </row>
    <row r="21" ht="64" customHeight="1">
      <c r="A21" s="19" t="inlineStr">
        <is>
          <t>TB-010</t>
        </is>
      </c>
      <c r="B21" s="19" t="inlineStr">
        <is>
          <t>02 Data &amp; fixtures</t>
        </is>
      </c>
      <c r="C21" s="19" t="inlineStr">
        <is>
          <t>Separate tuning and holdout families</t>
        </is>
      </c>
      <c r="D21" s="23" t="inlineStr">
        <is>
          <t>Completed</t>
        </is>
      </c>
      <c r="E21" s="19" t="inlineStr">
        <is>
          <t>TB-009</t>
        </is>
      </c>
      <c r="F21" s="19" t="str"/>
      <c r="G21" s="19">
        <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f>
        <v/>
      </c>
      <c r="H21" s="45" t="n">
        <v>4</v>
      </c>
      <c r="I21" s="23" t="str"/>
      <c r="J21" s="46" t="n"/>
      <c r="K21" s="19" t="inlineStr">
        <is>
          <t>Split by task template and attack family. Deduplicate paraphrases and hash the locked holdout manifest.</t>
        </is>
      </c>
      <c r="L21" s="19" t="inlineStr">
        <is>
          <t>Python, content hashing</t>
        </is>
      </c>
      <c r="M21" s="19" t="inlineStr">
        <is>
          <t>Benign and attack fixtures</t>
        </is>
      </c>
      <c r="N21" s="19" t="inlineStr">
        <is>
          <t>No near-duplicate family crosses the tuning/holdout boundary.</t>
        </is>
      </c>
      <c r="O21" s="19" t="inlineStr">
        <is>
          <t>data/splits.json</t>
        </is>
      </c>
      <c r="P21" s="19" t="inlineStr">
        <is>
          <t>Random row splitting can leak attack templates.</t>
        </is>
      </c>
      <c r="Q21" s="19" t="inlineStr">
        <is>
          <t>Core</t>
        </is>
      </c>
      <c r="R21" s="19" t="str"/>
      <c r="S21" s="23" t="inlineStr">
        <is>
          <t>/Volumes/MHRJ/TrustBench-AI/data/splits.json</t>
        </is>
      </c>
      <c r="T21" s="23" t="n"/>
      <c r="U21" s="19">
        <f>IF(LEN(S21)&gt;0,1,0)</f>
        <v/>
      </c>
    </row>
    <row r="22" ht="64" customHeight="1">
      <c r="A22" s="20" t="inlineStr">
        <is>
          <t>TB-011</t>
        </is>
      </c>
      <c r="B22" s="20" t="inlineStr">
        <is>
          <t>02 Data &amp; fixtures</t>
        </is>
      </c>
      <c r="C22" s="20" t="inlineStr">
        <is>
          <t>Validate dataset and reset semantics</t>
        </is>
      </c>
      <c r="D22" s="23" t="inlineStr">
        <is>
          <t>Completed</t>
        </is>
      </c>
      <c r="E22" s="20" t="inlineStr">
        <is>
          <t>TB-010</t>
        </is>
      </c>
      <c r="F22" s="20" t="str"/>
      <c r="G22" s="20">
        <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f>
        <v/>
      </c>
      <c r="H22" s="45" t="n">
        <v>4</v>
      </c>
      <c r="I22" s="23" t="str"/>
      <c r="J22" s="46" t="n"/>
      <c r="K22" s="20" t="inlineStr">
        <is>
          <t>Check IDs, missing labels, malformed payloads and deterministic state reset between episodes.</t>
        </is>
      </c>
      <c r="L22" s="20" t="inlineStr">
        <is>
          <t>pytest, SQLite snapshots</t>
        </is>
      </c>
      <c r="M22" s="20" t="inlineStr">
        <is>
          <t>All fixture manifests</t>
        </is>
      </c>
      <c r="N22" s="20" t="inlineStr">
        <is>
          <t>Validation fails on broken labels and cross-run state contamination.</t>
        </is>
      </c>
      <c r="O22" s="20" t="inlineStr">
        <is>
          <t>reports/data-validation.json</t>
        </is>
      </c>
      <c r="P22" s="20" t="inlineStr">
        <is>
          <t>A reset failure invalidates paired comparisons.</t>
        </is>
      </c>
      <c r="Q22" s="20" t="inlineStr">
        <is>
          <t>Core</t>
        </is>
      </c>
      <c r="R22" s="20" t="str"/>
      <c r="S22" s="23" t="inlineStr">
        <is>
          <t>/Volumes/MHRJ/TrustBench-AI/reports/data-validation.json</t>
        </is>
      </c>
      <c r="T22" s="23" t="n"/>
      <c r="U22" s="19">
        <f>IF(LEN(S22)&gt;0,1,0)</f>
        <v/>
      </c>
    </row>
    <row r="23" ht="64" customHeight="1">
      <c r="A23" s="19" t="inlineStr">
        <is>
          <t>TB-012</t>
        </is>
      </c>
      <c r="B23" s="19" t="inlineStr">
        <is>
          <t>02 Data &amp; fixtures</t>
        </is>
      </c>
      <c r="C23" s="19" t="inlineStr">
        <is>
          <t>Create small end-to-end smoke suite</t>
        </is>
      </c>
      <c r="D23" s="23" t="inlineStr">
        <is>
          <t>Completed</t>
        </is>
      </c>
      <c r="E23" s="19" t="inlineStr">
        <is>
          <t>TB-011</t>
        </is>
      </c>
      <c r="F23" s="19" t="str"/>
      <c r="G23" s="19">
        <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f>
        <v/>
      </c>
      <c r="H23" s="45" t="n">
        <v>3</v>
      </c>
      <c r="I23" s="23" t="str"/>
      <c r="J23" s="46" t="n"/>
      <c r="K23" s="19" t="inlineStr">
        <is>
          <t>Select one benign and one adversarial case per workflow and expected checker results.</t>
        </is>
      </c>
      <c r="L23" s="19" t="inlineStr">
        <is>
          <t>pytest</t>
        </is>
      </c>
      <c r="M23" s="19" t="inlineStr">
        <is>
          <t>Versioned smoke fixtures</t>
        </is>
      </c>
      <c r="N23" s="19" t="inlineStr">
        <is>
          <t>Runs finish offline with mocked model responses.</t>
        </is>
      </c>
      <c r="O23" s="19" t="inlineStr">
        <is>
          <t>tests/smoke/</t>
        </is>
      </c>
      <c r="P23" s="19" t="inlineStr">
        <is>
          <t>Smoke suite is a functional check, not a performance benchmark.</t>
        </is>
      </c>
      <c r="Q23" s="19" t="inlineStr">
        <is>
          <t>Core</t>
        </is>
      </c>
      <c r="R23" s="19" t="str"/>
      <c r="S23" s="23" t="inlineStr">
        <is>
          <t>/Volumes/MHRJ/TrustBench-AI/tests/smoke/report.json</t>
        </is>
      </c>
      <c r="T23" s="23" t="n"/>
      <c r="U23" s="19">
        <f>IF(LEN(S23)&gt;0,1,0)</f>
        <v/>
      </c>
    </row>
    <row r="24" ht="64" customHeight="1">
      <c r="A24" s="21" t="inlineStr">
        <is>
          <t>TB-013</t>
        </is>
      </c>
      <c r="B24" s="21" t="inlineStr">
        <is>
          <t>03 Agent baseline</t>
        </is>
      </c>
      <c r="C24" s="21" t="inlineStr">
        <is>
          <t>Implement provider-neutral model adapter</t>
        </is>
      </c>
      <c r="D24" s="22" t="inlineStr">
        <is>
          <t>Completed</t>
        </is>
      </c>
      <c r="E24" s="21" t="inlineStr">
        <is>
          <t>TB-012</t>
        </is>
      </c>
      <c r="F24" s="21" t="str"/>
      <c r="G24" s="21">
        <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f>
        <v/>
      </c>
      <c r="H24" s="43" t="n">
        <v>4</v>
      </c>
      <c r="I24" s="22" t="str"/>
      <c r="J24" s="44" t="n"/>
      <c r="K24" s="21" t="inlineStr">
        <is>
          <t>Normalize messages, tool calls, usage and provider errors. Capture exact model identifiers and generation settings.</t>
        </is>
      </c>
      <c r="L24" s="21" t="inlineStr">
        <is>
          <t>Python SDK, Pydantic</t>
        </is>
      </c>
      <c r="M24" s="21" t="inlineStr">
        <is>
          <t>Mock provider and one chosen provider</t>
        </is>
      </c>
      <c r="N24" s="21" t="inlineStr">
        <is>
          <t>Adapter contract tests pass for valid and malformed responses.</t>
        </is>
      </c>
      <c r="O24" s="21" t="inlineStr">
        <is>
          <t>src/models/</t>
        </is>
      </c>
      <c r="P24" s="21" t="inlineStr">
        <is>
          <t>Provider seed support does not guarantee determinism.</t>
        </is>
      </c>
      <c r="Q24" s="21" t="inlineStr">
        <is>
          <t>Core</t>
        </is>
      </c>
      <c r="R24" s="21" t="str"/>
      <c r="S24" s="22" t="inlineStr">
        <is>
          <t>/Volumes/MHRJ/TrustBench-AI/artifacts/verification/tb013-model-adapter.json</t>
        </is>
      </c>
      <c r="T24" s="22" t="n"/>
      <c r="U24" s="19">
        <f>IF(LEN(S24)&gt;0,1,0)</f>
        <v/>
      </c>
    </row>
    <row r="25" ht="64" customHeight="1">
      <c r="A25" s="19" t="inlineStr">
        <is>
          <t>TB-014</t>
        </is>
      </c>
      <c r="B25" s="19" t="inlineStr">
        <is>
          <t>03 Agent baseline</t>
        </is>
      </c>
      <c r="C25" s="19" t="inlineStr">
        <is>
          <t>Implement isolated tool services</t>
        </is>
      </c>
      <c r="D25" s="23" t="inlineStr">
        <is>
          <t>Completed</t>
        </is>
      </c>
      <c r="E25" s="19" t="inlineStr">
        <is>
          <t>TB-013</t>
        </is>
      </c>
      <c r="F25" s="19" t="str"/>
      <c r="G25" s="19">
        <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f>
        <v/>
      </c>
      <c r="H25" s="45" t="n">
        <v>6</v>
      </c>
      <c r="I25" s="23" t="str"/>
      <c r="J25" s="46" t="n"/>
      <c r="K25" s="19" t="inlineStr">
        <is>
          <t>Expose schema-validated read/search/draft/update operations over synthetic state. Remove credentials and public network egress.</t>
        </is>
      </c>
      <c r="L25" s="19" t="inlineStr">
        <is>
          <t>FastAPI, Docker, SQLite</t>
        </is>
      </c>
      <c r="M25" s="19" t="inlineStr">
        <is>
          <t>Synthetic fixture state</t>
        </is>
      </c>
      <c r="N25" s="19" t="inlineStr">
        <is>
          <t>Tool integration tests enforce state reset and resource limits.</t>
        </is>
      </c>
      <c r="O25" s="19" t="inlineStr">
        <is>
          <t>src/tools/ and sandbox config</t>
        </is>
      </c>
      <c r="P25" s="19" t="inlineStr">
        <is>
          <t>Containers require restrictive configuration; do not claim universal isolation.</t>
        </is>
      </c>
      <c r="Q25" s="19" t="inlineStr">
        <is>
          <t>Core</t>
        </is>
      </c>
      <c r="R25" s="19" t="str"/>
      <c r="S25" s="23" t="inlineStr">
        <is>
          <t>/Volumes/MHRJ/TrustBench-AI/evidence/tb014-tool-service-report.json; /Volumes/MHRJ/TrustBench-AI/src/tools/; /Volumes/MHRJ/TrustBench-AI/agent/sandbox.ts; /Volumes/MHRJ/TrustBench-AI/agent/sandbox/Dockerfile</t>
        </is>
      </c>
      <c r="T25" s="23" t="n"/>
      <c r="U25" s="19">
        <f>IF(LEN(S25)&gt;0,1,0)</f>
        <v/>
      </c>
    </row>
    <row r="26" ht="64" customHeight="1">
      <c r="A26" s="20" t="inlineStr">
        <is>
          <t>TB-015</t>
        </is>
      </c>
      <c r="B26" s="20" t="inlineStr">
        <is>
          <t>03 Agent baseline</t>
        </is>
      </c>
      <c r="C26" s="20" t="inlineStr">
        <is>
          <t>Build bounded baseline agent</t>
        </is>
      </c>
      <c r="D26" s="23" t="inlineStr">
        <is>
          <t>Completed</t>
        </is>
      </c>
      <c r="E26" s="20" t="inlineStr">
        <is>
          <t>TB-014</t>
        </is>
      </c>
      <c r="F26" s="20" t="str"/>
      <c r="G26" s="20">
        <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f>
        <v/>
      </c>
      <c r="H26" s="45" t="n">
        <v>5</v>
      </c>
      <c r="I26" s="23" t="str"/>
      <c r="J26" s="46" t="n"/>
      <c r="K26" s="20" t="inlineStr">
        <is>
          <t>Use a small graph with model, tool and termination nodes. Cap steps and preserve all failures.</t>
        </is>
      </c>
      <c r="L26" s="20" t="inlineStr">
        <is>
          <t>LangGraph or plain state machine</t>
        </is>
      </c>
      <c r="M26" s="20" t="inlineStr">
        <is>
          <t>Model adapter and tool contracts</t>
        </is>
      </c>
      <c r="N26" s="20" t="inlineStr">
        <is>
          <t>All trajectories terminate as success, failure, timeout or budget exhausted.</t>
        </is>
      </c>
      <c r="O26" s="20" t="inlineStr">
        <is>
          <t>src/agent/</t>
        </is>
      </c>
      <c r="P26" s="20" t="inlineStr">
        <is>
          <t>Keep baseline and defended agent generation settings identical.</t>
        </is>
      </c>
      <c r="Q26" s="20" t="inlineStr">
        <is>
          <t>Core</t>
        </is>
      </c>
      <c r="R26" s="20" t="inlineStr">
        <is>
          <t>TB-S3</t>
        </is>
      </c>
      <c r="S26" s="23" t="inlineStr">
        <is>
          <t>/Volumes/MHRJ/TrustBench-AI/evidence/tb015-baseline-agent-report.json; /Volumes/MHRJ/TrustBench-AI/src/agent/</t>
        </is>
      </c>
      <c r="T26" s="23" t="n"/>
      <c r="U26" s="19">
        <f>IF(LEN(S26)&gt;0,1,0)</f>
        <v/>
      </c>
    </row>
    <row r="27" ht="64" customHeight="1">
      <c r="A27" s="19" t="inlineStr">
        <is>
          <t>TB-016</t>
        </is>
      </c>
      <c r="B27" s="19" t="inlineStr">
        <is>
          <t>03 Agent baseline</t>
        </is>
      </c>
      <c r="C27" s="19" t="inlineStr">
        <is>
          <t>Add independent outcome evaluators</t>
        </is>
      </c>
      <c r="D27" s="23" t="inlineStr">
        <is>
          <t>Completed</t>
        </is>
      </c>
      <c r="E27" s="19" t="inlineStr">
        <is>
          <t>TB-015</t>
        </is>
      </c>
      <c r="F27" s="19" t="str"/>
      <c r="G27" s="19">
        <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f>
        <v/>
      </c>
      <c r="H27" s="45" t="n">
        <v>5</v>
      </c>
      <c r="I27" s="23" t="str"/>
      <c r="J27" s="46" t="n"/>
      <c r="K27" s="19" t="inlineStr">
        <is>
          <t>Check final state against intended task, then separately check attacker goals and prohibited side effects.</t>
        </is>
      </c>
      <c r="L27" s="19" t="inlineStr">
        <is>
          <t>Pure Python evaluator functions</t>
        </is>
      </c>
      <c r="M27" s="19" t="inlineStr">
        <is>
          <t>Task contracts and traces</t>
        </is>
      </c>
      <c r="N27" s="19" t="inlineStr">
        <is>
          <t>Known-good and known-bad trajectories produce expected labels.</t>
        </is>
      </c>
      <c r="O27" s="19" t="inlineStr">
        <is>
          <t>tests/evaluators/</t>
        </is>
      </c>
      <c r="P27" s="19" t="inlineStr">
        <is>
          <t>A fluent final answer is not proof of successful execution.</t>
        </is>
      </c>
      <c r="Q27" s="19" t="inlineStr">
        <is>
          <t>Core</t>
        </is>
      </c>
      <c r="R27" s="19" t="str"/>
      <c r="S27" s="23" t="inlineStr">
        <is>
          <t>/Volumes/MHRJ/TrustBench-AI/evidence/tb016-evaluator-report.json; /Volumes/MHRJ/TrustBench-AI/src/evaluators/; /Volumes/MHRJ/TrustBench-AI/tests/evaluators/</t>
        </is>
      </c>
      <c r="T27" s="23" t="inlineStr">
        <is>
          <t>Frozen v1 (tb016.1.0.0) kept for the TB-017 pilot hash. Post-pilot fixes live in src/evaluators/outcomes_v2.py (tb016.1.1.0): abstention judging, answer normalization, HTTP argument names, decoy-record handling. See protocol/amendments.md A-002.</t>
        </is>
      </c>
      <c r="U27" s="19">
        <f>IF(LEN(S27)&gt;0,1,0)</f>
        <v/>
      </c>
    </row>
    <row r="28" ht="64" customHeight="1">
      <c r="A28" s="20" t="inlineStr">
        <is>
          <t>TB-017</t>
        </is>
      </c>
      <c r="B28" s="20" t="inlineStr">
        <is>
          <t>03 Agent baseline</t>
        </is>
      </c>
      <c r="C28" s="20" t="inlineStr">
        <is>
          <t>Run and store baseline pilot</t>
        </is>
      </c>
      <c r="D28" s="23" t="inlineStr">
        <is>
          <t>Completed</t>
        </is>
      </c>
      <c r="E28" s="20" t="inlineStr">
        <is>
          <t>TB-016</t>
        </is>
      </c>
      <c r="F28" s="20" t="inlineStr">
        <is>
          <t>TB-005</t>
        </is>
      </c>
      <c r="G28" s="20">
        <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f>
        <v/>
      </c>
      <c r="H28" s="45" t="n">
        <v>4</v>
      </c>
      <c r="I28" s="23" t="str"/>
      <c r="J28" s="46" t="n"/>
      <c r="K28" s="20" t="inlineStr">
        <is>
          <t>Run tuning tasks with multiple repeats. Persist raw outputs, costs, timestamps and all failures.</t>
        </is>
      </c>
      <c r="L28" s="20" t="inlineStr">
        <is>
          <t>CLI runner, JSONL</t>
        </is>
      </c>
      <c r="M28" s="20" t="inlineStr">
        <is>
          <t>Tuning split only</t>
        </is>
      </c>
      <c r="N28" s="20" t="inlineStr">
        <is>
          <t>A reproducible report links every metric to run IDs.</t>
        </is>
      </c>
      <c r="O28" s="20" t="inlineStr">
        <is>
          <t>runs/baseline-pilot/</t>
        </is>
      </c>
      <c r="P28" s="20" t="inlineStr">
        <is>
          <t>Do not fill metric cells until results are collected.</t>
        </is>
      </c>
      <c r="Q28" s="20" t="inlineStr">
        <is>
          <t>Core</t>
        </is>
      </c>
      <c r="R28" s="20" t="str"/>
      <c r="S28" s="23" t="inlineStr">
        <is>
          <t>/Volumes/MHRJ/TrustBench-AI/runs/baseline-pilot/</t>
        </is>
      </c>
      <c r="T28" s="23" t="n"/>
      <c r="U28" s="19">
        <f>IF(LEN(S28)&gt;0,1,0)</f>
        <v/>
      </c>
    </row>
    <row r="29" ht="64" customHeight="1">
      <c r="A29" s="19" t="inlineStr">
        <is>
          <t>TB-018</t>
        </is>
      </c>
      <c r="B29" s="19" t="inlineStr">
        <is>
          <t>03 Agent baseline</t>
        </is>
      </c>
      <c r="C29" s="19" t="inlineStr">
        <is>
          <t>Review failure taxonomy</t>
        </is>
      </c>
      <c r="D29" s="23" t="inlineStr">
        <is>
          <t>Completed</t>
        </is>
      </c>
      <c r="E29" s="19" t="inlineStr">
        <is>
          <t>TB-017</t>
        </is>
      </c>
      <c r="F29" s="19" t="str"/>
      <c r="G29" s="19">
        <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f>
        <v/>
      </c>
      <c r="H29" s="45" t="n">
        <v>3</v>
      </c>
      <c r="I29" s="23" t="str"/>
      <c r="J29" s="46" t="n"/>
      <c r="K29" s="19" t="inlineStr">
        <is>
          <t>Manually inspect failures and label model reasoning, tool failure, policy failure, timeout and evaluator error.</t>
        </is>
      </c>
      <c r="L29" s="19" t="inlineStr">
        <is>
          <t>Review notebook</t>
        </is>
      </c>
      <c r="M29" s="19" t="inlineStr">
        <is>
          <t>Baseline pilot traces</t>
        </is>
      </c>
      <c r="N29" s="19" t="inlineStr">
        <is>
          <t>Taxonomy includes ambiguous cases and reviewer disagreements.</t>
        </is>
      </c>
      <c r="O29" s="19" t="inlineStr">
        <is>
          <t>reports/failure-taxonomy.csv</t>
        </is>
      </c>
      <c r="P29" s="19" t="inlineStr">
        <is>
          <t>Use this to refine tuning fixtures only.</t>
        </is>
      </c>
      <c r="Q29" s="19" t="inlineStr">
        <is>
          <t>Core</t>
        </is>
      </c>
      <c r="R29" s="19" t="str"/>
      <c r="S29" s="23" t="inlineStr">
        <is>
          <t>/Volumes/MHRJ/TrustBench-AI/reports/failure-taxonomy.csv; /Volumes/MHRJ/TrustBench-AI/reports/failure-review.ipynb; /Volumes/MHRJ/TrustBench-AI/reports/tb018-review-summary.json</t>
        </is>
      </c>
      <c r="T29" s="23" t="n"/>
      <c r="U29" s="19">
        <f>IF(LEN(S29)&gt;0,1,0)</f>
        <v/>
      </c>
    </row>
    <row r="30" ht="64" customHeight="1">
      <c r="A30" s="21" t="inlineStr">
        <is>
          <t>TB-019</t>
        </is>
      </c>
      <c r="B30" s="21" t="inlineStr">
        <is>
          <t>04 Policy gateway</t>
        </is>
      </c>
      <c r="C30" s="21" t="inlineStr">
        <is>
          <t>Implement centralized tool interception</t>
        </is>
      </c>
      <c r="D30" s="22" t="inlineStr">
        <is>
          <t>Completed</t>
        </is>
      </c>
      <c r="E30" s="21" t="inlineStr">
        <is>
          <t>TB-018</t>
        </is>
      </c>
      <c r="F30" s="21" t="str"/>
      <c r="G30" s="21">
        <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f>
        <v/>
      </c>
      <c r="H30" s="43" t="n">
        <v>6</v>
      </c>
      <c r="I30" s="22" t="str"/>
      <c r="J30" s="44" t="n"/>
      <c r="K30" s="21" t="inlineStr">
        <is>
          <t>Route every tool call through one gateway before execution; prevent agent access to raw tool clients.</t>
        </is>
      </c>
      <c r="L30" s="21" t="inlineStr">
        <is>
          <t>Python middleware, integration tests</t>
        </is>
      </c>
      <c r="M30" s="21" t="inlineStr">
        <is>
          <t>Tool contracts</t>
        </is>
      </c>
      <c r="N30" s="21" t="inlineStr">
        <is>
          <t>Direct-call bypass fixtures cannot execute a tool.</t>
        </is>
      </c>
      <c r="O30" s="21" t="inlineStr">
        <is>
          <t>src/gateway/</t>
        </is>
      </c>
      <c r="P30" s="21" t="inlineStr">
        <is>
          <t>Model instructions cannot enforce access control.</t>
        </is>
      </c>
      <c r="Q30" s="21" t="inlineStr">
        <is>
          <t>Core</t>
        </is>
      </c>
      <c r="R30" s="21" t="str"/>
      <c r="S30" s="22" t="inlineStr">
        <is>
          <t>/Volumes/MHRJ/TrustBench-AI/src/gateway/; /Volumes/MHRJ/TrustBench-AI/reports/tb019-gateway-tests.xml</t>
        </is>
      </c>
      <c r="T30" s="22" t="n"/>
      <c r="U30" s="19">
        <f>IF(LEN(S30)&gt;0,1,0)</f>
        <v/>
      </c>
    </row>
    <row r="31" ht="64" customHeight="1">
      <c r="A31" s="19" t="inlineStr">
        <is>
          <t>TB-020</t>
        </is>
      </c>
      <c r="B31" s="19" t="inlineStr">
        <is>
          <t>04 Policy gateway</t>
        </is>
      </c>
      <c r="C31" s="19" t="inlineStr">
        <is>
          <t>Track provenance through tool outputs</t>
        </is>
      </c>
      <c r="D31" s="23" t="inlineStr">
        <is>
          <t>Completed</t>
        </is>
      </c>
      <c r="E31" s="19" t="inlineStr">
        <is>
          <t>TB-019</t>
        </is>
      </c>
      <c r="F31" s="19" t="str"/>
      <c r="G31" s="19">
        <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f>
        <v/>
      </c>
      <c r="H31" s="45" t="n">
        <v>6</v>
      </c>
      <c r="I31" s="23" t="str"/>
      <c r="J31" s="46" t="n"/>
      <c r="K31" s="19" t="inlineStr">
        <is>
          <t>Attach source IDs and trust labels. Preserve labels during serialization and record transformations.</t>
        </is>
      </c>
      <c r="L31" s="19" t="inlineStr">
        <is>
          <t>Typed wrappers, trace schema</t>
        </is>
      </c>
      <c r="M31" s="19" t="inlineStr">
        <is>
          <t>Retrieved documents and tool outputs</t>
        </is>
      </c>
      <c r="N31" s="19" t="inlineStr">
        <is>
          <t>Unknown or lost provenance is handled explicitly in all adapters.</t>
        </is>
      </c>
      <c r="O31" s="19" t="inlineStr">
        <is>
          <t>tests/provenance/</t>
        </is>
      </c>
      <c r="P31" s="19" t="inlineStr">
        <is>
          <t>Document limitations when model text mixes several sources.</t>
        </is>
      </c>
      <c r="Q31" s="19" t="inlineStr">
        <is>
          <t>Core</t>
        </is>
      </c>
      <c r="R31" s="19" t="inlineStr">
        <is>
          <t>TB-S2</t>
        </is>
      </c>
      <c r="S31" s="23" t="inlineStr">
        <is>
          <t>/Volumes/MHRJ/TrustBench-AI/tests/provenance/; /Volumes/MHRJ/TrustBench-AI/reports/tb020-provenance-tests.xml</t>
        </is>
      </c>
      <c r="T31" s="23" t="n"/>
      <c r="U31" s="19">
        <f>IF(LEN(S31)&gt;0,1,0)</f>
        <v/>
      </c>
    </row>
    <row r="32" ht="64" customHeight="1">
      <c r="A32" s="20" t="inlineStr">
        <is>
          <t>TB-021</t>
        </is>
      </c>
      <c r="B32" s="20" t="inlineStr">
        <is>
          <t>04 Policy gateway</t>
        </is>
      </c>
      <c r="C32" s="20" t="inlineStr">
        <is>
          <t>Enforce capabilities and argument policy</t>
        </is>
      </c>
      <c r="D32" s="23" t="inlineStr">
        <is>
          <t>Completed</t>
        </is>
      </c>
      <c r="E32" s="20" t="inlineStr">
        <is>
          <t>TB-020</t>
        </is>
      </c>
      <c r="F32" s="20" t="str"/>
      <c r="G32" s="20">
        <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f>
        <v/>
      </c>
      <c r="H32" s="45" t="n">
        <v>7</v>
      </c>
      <c r="I32" s="23" t="str"/>
      <c r="J32" s="46" t="n"/>
      <c r="K32" s="20" t="inlineStr">
        <is>
          <t>Validate allowed operation, resource, recipient and destination against user-scoped capabilities. Default deny unknown operations.</t>
        </is>
      </c>
      <c r="L32" s="20" t="inlineStr">
        <is>
          <t>Policy rules, JSON Schema</t>
        </is>
      </c>
      <c r="M32" s="20" t="inlineStr">
        <is>
          <t>Per-task capability manifest</t>
        </is>
      </c>
      <c r="N32" s="20" t="inlineStr">
        <is>
          <t>Tampered destinations and excess permissions are blocked before side effects.</t>
        </is>
      </c>
      <c r="O32" s="20" t="inlineStr">
        <is>
          <t>src/policy/</t>
        </is>
      </c>
      <c r="P32" s="20" t="inlineStr">
        <is>
          <t>An allowlist is only as complete as its normalization rules.</t>
        </is>
      </c>
      <c r="Q32" s="20" t="inlineStr">
        <is>
          <t>Core</t>
        </is>
      </c>
      <c r="R32" s="20" t="str"/>
      <c r="S32" s="23" t="inlineStr">
        <is>
          <t>/Volumes/MHRJ/TrustBench-AI/src/policy/; /Volumes/MHRJ/TrustBench-AI/reports/tb021-policy-tests.xml; /Volumes/MHRJ/TrustBench-AI/src/policy/capability-manifests.json</t>
        </is>
      </c>
      <c r="T32" s="23" t="inlineStr">
        <is>
          <t>Limit: allowlist exactness relies on exact-ID matching (no normalization). Fixture tests only; not proof against all attacks.</t>
        </is>
      </c>
      <c r="U32" s="19">
        <f>IF(LEN(S32)&gt;0,1,0)</f>
        <v/>
      </c>
    </row>
    <row r="33" ht="64" customHeight="1">
      <c r="A33" s="19" t="inlineStr">
        <is>
          <t>TB-022</t>
        </is>
      </c>
      <c r="B33" s="19" t="inlineStr">
        <is>
          <t>04 Policy gateway</t>
        </is>
      </c>
      <c r="C33" s="19" t="inlineStr">
        <is>
          <t>Add approval and replay-safe actions</t>
        </is>
      </c>
      <c r="D33" s="23" t="inlineStr">
        <is>
          <t>Completed</t>
        </is>
      </c>
      <c r="E33" s="19" t="inlineStr">
        <is>
          <t>TB-021</t>
        </is>
      </c>
      <c r="F33" s="19" t="str"/>
      <c r="G33" s="19">
        <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f>
        <v/>
      </c>
      <c r="H33" s="45" t="n">
        <v>5</v>
      </c>
      <c r="I33" s="23" t="str"/>
      <c r="J33" s="46" t="n"/>
      <c r="K33" s="19" t="inlineStr">
        <is>
          <t>Pause consequential mock operations for approval bound to exact arguments. Add expiry, replay protection and idempotency keys.</t>
        </is>
      </c>
      <c r="L33" s="19" t="inlineStr">
        <is>
          <t>LangGraph interrupts, durable store</t>
        </is>
      </c>
      <c r="M33" s="19" t="inlineStr">
        <is>
          <t>Synthetic approval events</t>
        </is>
      </c>
      <c r="N33" s="19" t="inlineStr">
        <is>
          <t>Changed arguments invalidate approval; resume does not duplicate effects.</t>
        </is>
      </c>
      <c r="O33" s="19" t="inlineStr">
        <is>
          <t>tests/approval/</t>
        </is>
      </c>
      <c r="P33" s="19" t="inlineStr">
        <is>
          <t>Graph nodes can restart on resume; isolate side effects.</t>
        </is>
      </c>
      <c r="Q33" s="19" t="inlineStr">
        <is>
          <t>Core</t>
        </is>
      </c>
      <c r="R33" s="19" t="inlineStr">
        <is>
          <t>TB-S3</t>
        </is>
      </c>
      <c r="S33" s="23" t="inlineStr">
        <is>
      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      </is>
      </c>
      <c r="T33" s="23" t="inlineStr">
        <is>
          <t>LangGraph interrupt() workflow with durable SQLite checkpointer; node-replay, restart, tamper, expiry and repeat-resume tested (24 tests). Guarantee is local-SQLite only; no exactly-once claim for external APIs. Wiring into the baseline agent is TB-024.</t>
        </is>
      </c>
      <c r="U33" s="19">
        <f>IF(LEN(S33)&gt;0,1,0)</f>
        <v/>
      </c>
    </row>
    <row r="34" ht="64" customHeight="1">
      <c r="A34" s="20" t="inlineStr">
        <is>
          <t>TB-023</t>
        </is>
      </c>
      <c r="B34" s="20" t="inlineStr">
        <is>
          <t>04 Policy gateway</t>
        </is>
      </c>
      <c r="C34" s="20" t="inlineStr">
        <is>
          <t>Test boundary and normalization failures</t>
        </is>
      </c>
      <c r="D34" s="23" t="inlineStr">
        <is>
          <t>Completed</t>
        </is>
      </c>
      <c r="E34" s="20" t="inlineStr">
        <is>
          <t>TB-022</t>
        </is>
      </c>
      <c r="F34" s="20" t="str"/>
      <c r="G34" s="20">
        <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f>
        <v/>
      </c>
      <c r="H34" s="45" t="n">
        <v>5</v>
      </c>
      <c r="I34" s="23" t="str"/>
      <c r="J34" s="46" t="n"/>
      <c r="K34" s="20" t="inlineStr">
        <is>
          <t>Exercise encoded destinations, missing permissions, cross-user IDs, repeated approvals and malformed tool outputs.</t>
        </is>
      </c>
      <c r="L34" s="20" t="inlineStr">
        <is>
          <t>pytest, property-based tests</t>
        </is>
      </c>
      <c r="M34" s="20" t="inlineStr">
        <is>
          <t>Adversarial policy fixtures</t>
        </is>
      </c>
      <c r="N34" s="20" t="inlineStr">
        <is>
          <t>All declared security invariants have negative and positive tests.</t>
        </is>
      </c>
      <c r="O34" s="20" t="inlineStr">
        <is>
          <t>reports/policy-tests.xml</t>
        </is>
      </c>
      <c r="P34" s="20" t="inlineStr">
        <is>
          <t>Passing fixtures do not prove security against all attacks.</t>
        </is>
      </c>
      <c r="Q34" s="20" t="inlineStr">
        <is>
          <t>Core</t>
        </is>
      </c>
      <c r="R34" s="20" t="str"/>
      <c r="S34" s="23" t="inlineStr">
        <is>
      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      </is>
      </c>
      <c r="T34" s="23" t="inlineStr">
        <is>
          <t>8 invariants, each with positive+negative tests enforced at collection (89 tests, 3 consecutive passes, Hypothesis included). Gateway hardened to fail closed on malformed tool output. Synthetic fixtures only; not proof against all attacks.</t>
        </is>
      </c>
      <c r="U34" s="19">
        <f>IF(LEN(S34)&gt;0,1,0)</f>
        <v/>
      </c>
    </row>
    <row r="35" ht="64" customHeight="1">
      <c r="A35" s="19" t="inlineStr">
        <is>
          <t>TB-024</t>
        </is>
      </c>
      <c r="B35" s="19" t="inlineStr">
        <is>
          <t>04 Policy gateway</t>
        </is>
      </c>
      <c r="C35" s="19" t="inlineStr">
        <is>
          <t>Integrate defended-agent workflow</t>
        </is>
      </c>
      <c r="D35" s="23" t="inlineStr">
        <is>
          <t>Completed</t>
        </is>
      </c>
      <c r="E35" s="19" t="inlineStr">
        <is>
          <t>TB-023</t>
        </is>
      </c>
      <c r="F35" s="19" t="inlineStr">
        <is>
          <t>TB-016</t>
        </is>
      </c>
      <c r="G35" s="19">
        <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f>
        <v/>
      </c>
      <c r="H35" s="45" t="n">
        <v>4</v>
      </c>
      <c r="I35" s="23" t="str"/>
      <c r="J35" s="46" t="n"/>
      <c r="K35" s="19" t="inlineStr">
        <is>
          <t>Wire gateway into the same baseline agent and run smoke cases with policy decision traces.</t>
        </is>
      </c>
      <c r="L35" s="19" t="inlineStr">
        <is>
          <t>LangGraph, CLI</t>
        </is>
      </c>
      <c r="M35" s="19" t="inlineStr">
        <is>
          <t>Same prompts and tool state</t>
        </is>
      </c>
      <c r="N35" s="19" t="inlineStr">
        <is>
          <t>Only intended gateway behavior differs between comparison arms.</t>
        </is>
      </c>
      <c r="O35" s="19" t="inlineStr">
        <is>
          <t>configs/defended.yaml</t>
        </is>
      </c>
      <c r="P35" s="19" t="inlineStr">
        <is>
          <t>Avoid confounding security changes with stronger model prompts.</t>
        </is>
      </c>
      <c r="Q35" s="19" t="inlineStr">
        <is>
          <t>Core</t>
        </is>
      </c>
      <c r="R35" s="19" t="str"/>
      <c r="S35" s="23" t="inlineStr">
        <is>
          <t>/Volumes/MHRJ/TrustBench-AI/configs/defended.yaml; /Volumes/MHRJ/TrustBench-AI/configs/baseline.yaml; /Volumes/MHRJ/TrustBench-AI/src/arms/; /Volumes/MHRJ/TrustBench-AI/evidence/tb024-defended-arm-report.json; /Volumes/MHRJ/TrustBench-AI/reports/tb024-policy-decision-traces.jsonl;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/Volumes/MHRJ/TrustBench-AI/evidence/tb024-defended-arm-holdout-mechanics-report.json; /Volumes/MHRJ/TrustBench-AI/reports/full-verify-after-arm-corrections.log; /Volumes/MHRJ/TrustBench-AI/docs/pilot-results-tb024.md; /Volumes/MHRJ/TrustBench-AI/data/attack-renderings.json; /Volumes/MHRJ/TrustBench-AI/configs/live-matrix.yaml; /Volumes/MHRJ/TrustBench-AI/reports/full-verify-after-harder-attacks.log; /Volumes/MHRJ/TrustBench-AI/docs/known-issues.md; /Volumes/MHRJ/TrustBench-AI/docs/flow-check.md; /Volumes/MHRJ/TrustBench-AI/configs/policy.yaml; /Volumes/MHRJ/TrustBench-AI/evidence/gateway-overhead-report.json; /Volumes/MHRJ/TrustBench-AI/reports/full-verify-after-flow-check.log</t>
        </is>
      </c>
      <c r="T35" s="23" t="inlineStr">
        <is>
          <t>Updated 2026-10-15 (protocol 1.1.0, amendments A-001..A-008): replacement sealed holdout created and never run; prompt profiles plain/hardened; published AgentDojo attack templates; positive control; run validity/exposure accounting. Live pilot (plain prompt, AgentDojo important_instructions): baseline attacker goal 8/20 (gpt-oss-20b) and 6/12 (qwen3.5:9b) vs 0 defended; generated tables in docs/pilot-results-tb024.md. Unfinished: several registered matrix cells (listed in that doc), Gemini quota exhausted. Residual gap: gateway does not inspect free-text content inside authorized actions. Pilot-sized, not confirmatory. | 2026-10-15 later: provenance-aware flow check added as default defended variant (capability_only kept as ablation; A-010); open items tracked in docs/known-issues.md.</t>
        </is>
      </c>
      <c r="U35" s="19">
        <f>IF(LEN(S35)&gt;0,1,0)</f>
        <v/>
      </c>
    </row>
    <row r="36" ht="64" customHeight="1">
      <c r="A36" s="21" t="inlineStr">
        <is>
          <t>TB-025</t>
        </is>
      </c>
      <c r="B36" s="21" t="inlineStr">
        <is>
          <t>05 Reliability &amp; traces</t>
        </is>
      </c>
      <c r="C36" s="21" t="inlineStr">
        <is>
          <t>Add retries and bounded recovery</t>
        </is>
      </c>
      <c r="D36" s="22" t="inlineStr">
        <is>
          <t>Completed</t>
        </is>
      </c>
      <c r="E36" s="21" t="inlineStr">
        <is>
          <t>TB-024</t>
        </is>
      </c>
      <c r="F36" s="21" t="str"/>
      <c r="G36" s="21">
        <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f>
        <v/>
      </c>
      <c r="H36" s="43" t="n">
        <v>5</v>
      </c>
      <c r="I36" s="22" t="str"/>
      <c r="J36" s="44" t="n"/>
      <c r="K36" s="21" t="inlineStr">
        <is>
          <t>Retry transient read failures with backoff. Avoid automatic retry of non-idempotent writes.</t>
        </is>
      </c>
      <c r="L36" s="21" t="inlineStr">
        <is>
          <t>Tenacity or explicit retry logic</t>
        </is>
      </c>
      <c r="M36" s="21" t="inlineStr">
        <is>
          <t>Injected timeouts and rate limits</t>
        </is>
      </c>
      <c r="N36" s="21" t="inlineStr">
        <is>
          <t>Retry counts stay within budget and writes are never duplicated.</t>
        </is>
      </c>
      <c r="O36" s="21" t="inlineStr">
        <is>
          <t>tests/recovery/</t>
        </is>
      </c>
      <c r="P36" s="21" t="inlineStr">
        <is>
          <t>Retries can improve success while worsening cost and latency.</t>
        </is>
      </c>
      <c r="Q36" s="21" t="inlineStr">
        <is>
          <t>Core</t>
        </is>
      </c>
      <c r="R36" s="21" t="str"/>
      <c r="S36" s="22" t="inlineStr">
        <is>
          <t>/Volumes/MHRJ/TrustBench-AI/tests/recovery/; /Volumes/MHRJ/TrustBench-AI/reports/tb025-recovery-tests.xml; /Volumes/MHRJ/TrustBench-AI/evidence/tb025-recovery-report.json; /Volumes/MHRJ/TrustBench-AI/src/agent/recovery.ts; /Volumes/MHRJ/TrustBench-AI/configs/recovery.yaml; /Volumes/MHRJ/TrustBench-AI/docs/recovery.md; /Volumes/MHRJ/TrustBench-AI/reports/full-verify-after-tb025.log</t>
        </is>
      </c>
      <c r="T36" s="22" t="inlineStr">
        <is>
          <t>Explicit retry logic (no Tenacity): reads retried with seeded backoff inside the registered retry budget; writes get exactly one attempt, unknown outcomes are reported and exact repeats suppressed. 29 tests incl. real-service HTTP fault injection and a naive-retry negative control; seven mutation checks. Seeded trials (synthetic faults, scripted model) show 0 duplicate writes and retries never above budget; success and the extra attempts/backoff cost are in evidence/tb025-recovery-report.json. Limit: LLM behavior after failed/unknown-outcome calls is not measured; durable restart handling is TB-026.</t>
        </is>
      </c>
      <c r="U36" s="19">
        <f>IF(LEN(S36)&gt;0,1,0)</f>
        <v/>
      </c>
    </row>
    <row r="37" ht="64" customHeight="1">
      <c r="A37" s="19" t="inlineStr">
        <is>
          <t>TB-026</t>
        </is>
      </c>
      <c r="B37" s="19" t="inlineStr">
        <is>
          <t>05 Reliability &amp; traces</t>
        </is>
      </c>
      <c r="C37" s="19" t="inlineStr">
        <is>
          <t>Add durable checkpoints and cancellation</t>
        </is>
      </c>
      <c r="D37" s="23" t="inlineStr">
        <is>
          <t>Completed</t>
        </is>
      </c>
      <c r="E37" s="19" t="inlineStr">
        <is>
          <t>TB-025</t>
        </is>
      </c>
      <c r="F37" s="19" t="str"/>
      <c r="G37" s="19">
        <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f>
        <v/>
      </c>
      <c r="H37" s="45" t="n">
        <v>4</v>
      </c>
      <c r="I37" s="23" t="str"/>
      <c r="J37" s="46" t="n"/>
      <c r="K37" s="19" t="inlineStr">
        <is>
          <t>Persist run state and cancellation markers. Test process restart during read, approval and write phases.</t>
        </is>
      </c>
      <c r="L37" s="19" t="inlineStr">
        <is>
          <t>SQLite/PostgreSQL checkpointer</t>
        </is>
      </c>
      <c r="M37" s="19" t="inlineStr">
        <is>
          <t>Interrupted test runs</t>
        </is>
      </c>
      <c r="N37" s="19" t="inlineStr">
        <is>
          <t>Resume or safe abort yields a single final outcome per run.</t>
        </is>
      </c>
      <c r="O37" s="19" t="inlineStr">
        <is>
          <t>tests/restart/</t>
        </is>
      </c>
      <c r="P37" s="19" t="inlineStr">
        <is>
          <t>Checkpoint stores need access control and retention limits.</t>
        </is>
      </c>
      <c r="Q37" s="19" t="inlineStr">
        <is>
          <t>Core</t>
        </is>
      </c>
      <c r="R37" s="19" t="str"/>
      <c r="S37" s="23" t="inlineStr">
        <is>
          <t>/Volumes/MHRJ/TrustBench-AI/tests/restart/; /Volumes/MHRJ/TrustBench-AI/reports/tb026-restart-tests.xml; /Volumes/MHRJ/TrustBench-AI/src/agent/run-store.ts; /Volumes/MHRJ/TrustBench-AI/tests/gateway/test_durable_sessions.py; /Volumes/MHRJ/TrustBench-AI/configs/durability.yaml; /Volumes/MHRJ/TrustBench-AI/docs/durability.md; /Volumes/MHRJ/TrustBench-AI/reports/full-verify-after-tb026.log</t>
        </is>
      </c>
      <c r="T37" s="23" t="inlineStr">
        <is>
          <t>SQLite run store with checkpoints, write-ahead intent log, cancellation markers and a single final outcome per run; durable gateway sessions (hashed tokens, TTL, owner-only file). Restart tests SIGKILL the real agent during read, after a committed write, and at the approval pause (gateway restarted too), plus cancellation; two mutation checks caught. Limits: per-run wall-clock timeout restarts after resume; restored flow-check memory starts empty; retention runs on store open.</t>
        </is>
      </c>
      <c r="U37" s="19">
        <f>IF(LEN(S37)&gt;0,1,0)</f>
        <v/>
      </c>
    </row>
    <row r="38" ht="64" customHeight="1">
      <c r="A38" s="20" t="inlineStr">
        <is>
          <t>TB-027</t>
        </is>
      </c>
      <c r="B38" s="20" t="inlineStr">
        <is>
          <t>05 Reliability &amp; traces</t>
        </is>
      </c>
      <c r="C38" s="20" t="inlineStr">
        <is>
          <t>Instrument spans and redaction</t>
        </is>
      </c>
      <c r="D38" s="23" t="inlineStr">
        <is>
          <t>Not Started</t>
        </is>
      </c>
      <c r="E38" s="20" t="inlineStr">
        <is>
          <t>TB-026</t>
        </is>
      </c>
      <c r="F38" s="20" t="str"/>
      <c r="G38" s="20">
        <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f>
        <v/>
      </c>
      <c r="H38" s="45" t="n">
        <v>4</v>
      </c>
      <c r="I38" s="23" t="str"/>
      <c r="J38" s="46" t="n"/>
      <c r="K38" s="20" t="inlineStr">
        <is>
          <t>Record model, retrieval, policy and tool timing. Redact sensitive fixtures before export and correlate spans by run ID.</t>
        </is>
      </c>
      <c r="L38" s="20" t="inlineStr">
        <is>
          <t>OpenTelemetry, JSON logs</t>
        </is>
      </c>
      <c r="M38" s="20" t="inlineStr">
        <is>
          <t>Run and tool schemas</t>
        </is>
      </c>
      <c r="N38" s="20" t="inlineStr">
        <is>
          <t>All spans link to runs and contain no seeded secret canaries.</t>
        </is>
      </c>
      <c r="O38" s="20" t="inlineStr">
        <is>
          <t>observability/</t>
        </is>
      </c>
      <c r="P38" s="20" t="inlineStr">
        <is>
          <t>Timing should include queueing when reporting user latency.</t>
        </is>
      </c>
      <c r="Q38" s="20" t="inlineStr">
        <is>
          <t>Core</t>
        </is>
      </c>
      <c r="R38" s="20" t="str"/>
      <c r="S38" s="23" t="str"/>
      <c r="T38" s="23" t="str"/>
      <c r="U38" s="19">
        <f>IF(LEN(S38)&gt;0,1,0)</f>
        <v/>
      </c>
    </row>
    <row r="39" ht="64" customHeight="1">
      <c r="A39" s="19" t="inlineStr">
        <is>
          <t>TB-028</t>
        </is>
      </c>
      <c r="B39" s="19" t="inlineStr">
        <is>
          <t>05 Reliability &amp; traces</t>
        </is>
      </c>
      <c r="C39" s="19" t="inlineStr">
        <is>
          <t>Build repeated-run evaluator</t>
        </is>
      </c>
      <c r="D39" s="23" t="inlineStr">
        <is>
          <t>Not Started</t>
        </is>
      </c>
      <c r="E39" s="19" t="inlineStr">
        <is>
          <t>TB-027</t>
        </is>
      </c>
      <c r="F39" s="19" t="str"/>
      <c r="G39" s="19">
        <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f>
        <v/>
      </c>
      <c r="H39" s="45" t="n">
        <v>5</v>
      </c>
      <c r="I39" s="23" t="str"/>
      <c r="J39" s="46" t="n"/>
      <c r="K39" s="19" t="inlineStr">
        <is>
          <t>Execute fixed task-seed schedules. Report per-task success frequency and all-repeats success without pooling away variation.</t>
        </is>
      </c>
      <c r="L39" s="19" t="inlineStr">
        <is>
          <t>Python, NumPy</t>
        </is>
      </c>
      <c r="M39" s="19" t="inlineStr">
        <is>
          <t>Tuning tasks and repeated runs</t>
        </is>
      </c>
      <c r="N39" s="19" t="inlineStr">
        <is>
          <t>Changing run order does not change task pairing or denominators.</t>
        </is>
      </c>
      <c r="O39" s="19" t="inlineStr">
        <is>
          <t>src/evaluation/repeats.py</t>
        </is>
      </c>
      <c r="P39" s="19" t="inlineStr">
        <is>
          <t>Repeated runs of one task are correlated observations.</t>
        </is>
      </c>
      <c r="Q39" s="19" t="inlineStr">
        <is>
          <t>Core</t>
        </is>
      </c>
      <c r="R39" s="19" t="str"/>
      <c r="S39" s="23" t="str"/>
      <c r="T39" s="23" t="str"/>
      <c r="U39" s="19">
        <f>IF(LEN(S39)&gt;0,1,0)</f>
        <v/>
      </c>
    </row>
    <row r="40" ht="64" customHeight="1">
      <c r="A40" s="20" t="inlineStr">
        <is>
          <t>TB-029</t>
        </is>
      </c>
      <c r="B40" s="20" t="inlineStr">
        <is>
          <t>05 Reliability &amp; traces</t>
        </is>
      </c>
      <c r="C40" s="20" t="inlineStr">
        <is>
          <t>Localize trajectory failures</t>
        </is>
      </c>
      <c r="D40" s="23" t="inlineStr">
        <is>
          <t>Not Started</t>
        </is>
      </c>
      <c r="E40" s="20" t="inlineStr">
        <is>
          <t>TB-028</t>
        </is>
      </c>
      <c r="F40" s="20" t="str"/>
      <c r="G40" s="20">
        <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f>
        <v/>
      </c>
      <c r="H40" s="45" t="n">
        <v>6</v>
      </c>
      <c r="I40" s="23" t="str"/>
      <c r="J40" s="46" t="n"/>
      <c r="K40" s="20" t="inlineStr">
        <is>
          <t>Use deterministic rule checks to identify first violated contract. Add optional judge labels only after human calibration.</t>
        </is>
      </c>
      <c r="L40" s="20" t="inlineStr">
        <is>
          <t>Trace analyzer, review UI</t>
        </is>
      </c>
      <c r="M40" s="20" t="inlineStr">
        <is>
          <t>Labeled failure traces</t>
        </is>
      </c>
      <c r="N40" s="20" t="inlineStr">
        <is>
          <t>Attribution accuracy is evaluated against reviewed cases.</t>
        </is>
      </c>
      <c r="O40" s="20" t="inlineStr">
        <is>
          <t>reports/attribution.csv</t>
        </is>
      </c>
      <c r="P40" s="20" t="inlineStr">
        <is>
          <t>Correlation with a tool step does not establish causality.</t>
        </is>
      </c>
      <c r="Q40" s="20" t="inlineStr">
        <is>
          <t>Core</t>
        </is>
      </c>
      <c r="R40" s="20" t="str"/>
      <c r="S40" s="23" t="str"/>
      <c r="T40" s="23" t="str"/>
      <c r="U40" s="19">
        <f>IF(LEN(S40)&gt;0,1,0)</f>
        <v/>
      </c>
    </row>
    <row r="41" ht="64" customHeight="1">
      <c r="A41" s="19" t="inlineStr">
        <is>
          <t>TB-030</t>
        </is>
      </c>
      <c r="B41" s="19" t="inlineStr">
        <is>
          <t>05 Reliability &amp; traces</t>
        </is>
      </c>
      <c r="C41" s="19" t="inlineStr">
        <is>
          <t>Build review dashboard</t>
        </is>
      </c>
      <c r="D41" s="23" t="inlineStr">
        <is>
          <t>Not Started</t>
        </is>
      </c>
      <c r="E41" s="19" t="inlineStr">
        <is>
          <t>TB-029</t>
        </is>
      </c>
      <c r="F41" s="19" t="str"/>
      <c r="G41" s="19">
        <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f>
        <v/>
      </c>
      <c r="H41" s="45" t="n">
        <v>5</v>
      </c>
      <c r="I41" s="23" t="str"/>
      <c r="J41" s="46" t="n"/>
      <c r="K41" s="19" t="inlineStr">
        <is>
          <t>Show run filters, trace waterfall, policy reason, task outcome and comparison by configuration.</t>
        </is>
      </c>
      <c r="L41" s="19" t="inlineStr">
        <is>
          <t>Streamlit, Plotly</t>
        </is>
      </c>
      <c r="M41" s="19" t="inlineStr">
        <is>
          <t>Versioned run store</t>
        </is>
      </c>
      <c r="N41" s="19" t="inlineStr">
        <is>
          <t>A reviewer can open raw evidence behind any displayed aggregate.</t>
        </is>
      </c>
      <c r="O41" s="19" t="inlineStr">
        <is>
          <t>app/ and screenshots</t>
        </is>
      </c>
      <c r="P41" s="19" t="inlineStr">
        <is>
          <t>Keep sensitive payloads redacted in shared demos.</t>
        </is>
      </c>
      <c r="Q41" s="19" t="inlineStr">
        <is>
          <t>Core</t>
        </is>
      </c>
      <c r="R41" s="19" t="str"/>
      <c r="S41" s="23" t="str"/>
      <c r="T41" s="23" t="str"/>
      <c r="U41" s="19">
        <f>IF(LEN(S41)&gt;0,1,0)</f>
        <v/>
      </c>
    </row>
    <row r="42" ht="64" customHeight="1">
      <c r="A42" s="21" t="inlineStr">
        <is>
          <t>TB-031</t>
        </is>
      </c>
      <c r="B42" s="21" t="inlineStr">
        <is>
          <t>06 Evaluation</t>
        </is>
      </c>
      <c r="C42" s="21" t="inlineStr">
        <is>
          <t>Calibrate controls on tuning data</t>
        </is>
      </c>
      <c r="D42" s="22" t="inlineStr">
        <is>
          <t>Not Started</t>
        </is>
      </c>
      <c r="E42" s="21" t="inlineStr">
        <is>
          <t>TB-030</t>
        </is>
      </c>
      <c r="F42" s="21" t="inlineStr">
        <is>
          <t>TB-006</t>
        </is>
      </c>
      <c r="G42" s="21">
        <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f>
        <v/>
      </c>
      <c r="H42" s="43" t="n">
        <v>5</v>
      </c>
      <c r="I42" s="22" t="str"/>
      <c r="J42" s="44" t="n"/>
      <c r="K42" s="21" t="inlineStr">
        <is>
          <t>Select policy thresholds and reliability settings using only tuning data; freeze final configs.</t>
        </is>
      </c>
      <c r="L42" s="21" t="inlineStr">
        <is>
          <t>Experiment registry</t>
        </is>
      </c>
      <c r="M42" s="21" t="inlineStr">
        <is>
          <t>Tuning split</t>
        </is>
      </c>
      <c r="N42" s="21" t="inlineStr">
        <is>
          <t>Chosen configuration and selection rule are recorded before holdout.</t>
        </is>
      </c>
      <c r="O42" s="21" t="inlineStr">
        <is>
          <t>configs/frozen/</t>
        </is>
      </c>
      <c r="P42" s="21" t="inlineStr">
        <is>
          <t>No guaranteed attack-success reduction is assumed.</t>
        </is>
      </c>
      <c r="Q42" s="21" t="inlineStr">
        <is>
          <t>Core</t>
        </is>
      </c>
      <c r="R42" s="21" t="str"/>
      <c r="S42" s="22" t="str"/>
      <c r="T42" s="22" t="str"/>
      <c r="U42" s="19">
        <f>IF(LEN(S42)&gt;0,1,0)</f>
        <v/>
      </c>
    </row>
    <row r="43" ht="64" customHeight="1">
      <c r="A43" s="19" t="inlineStr">
        <is>
          <t>TB-032</t>
        </is>
      </c>
      <c r="B43" s="19" t="inlineStr">
        <is>
          <t>06 Evaluation</t>
        </is>
      </c>
      <c r="C43" s="19" t="inlineStr">
        <is>
          <t>Run paired holdout benchmark</t>
        </is>
      </c>
      <c r="D43" s="23" t="inlineStr">
        <is>
          <t>Not Started</t>
        </is>
      </c>
      <c r="E43" s="19" t="inlineStr">
        <is>
          <t>TB-031</t>
        </is>
      </c>
      <c r="F43" s="19" t="inlineStr">
        <is>
          <t>TB-010</t>
        </is>
      </c>
      <c r="G43" s="19">
        <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f>
        <v/>
      </c>
      <c r="H43" s="45" t="n">
        <v>8</v>
      </c>
      <c r="I43" s="23" t="str"/>
      <c r="J43" s="46" t="n"/>
      <c r="K43" s="19" t="inlineStr">
        <is>
          <t>Evaluate baseline and defended variants on identical tasks, repeat schedules and model revision within budget.</t>
        </is>
      </c>
      <c r="L43" s="19" t="inlineStr">
        <is>
          <t>Batch runner</t>
        </is>
      </c>
      <c r="M43" s="19" t="inlineStr">
        <is>
          <t>Locked holdout</t>
        </is>
      </c>
      <c r="N43" s="19" t="inlineStr">
        <is>
          <t>Missing runs and provider outages remain visible in the report.</t>
        </is>
      </c>
      <c r="O43" s="19" t="inlineStr">
        <is>
          <t>runs/holdout/</t>
        </is>
      </c>
      <c r="P43" s="19" t="inlineStr">
        <is>
          <t>If provider changes, rerun both arms or label the comparison invalid.</t>
        </is>
      </c>
      <c r="Q43" s="19" t="inlineStr">
        <is>
          <t>Core</t>
        </is>
      </c>
      <c r="R43" s="19" t="str"/>
      <c r="S43" s="23" t="str"/>
      <c r="T43" s="23" t="str"/>
      <c r="U43" s="19">
        <f>IF(LEN(S43)&gt;0,1,0)</f>
        <v/>
      </c>
    </row>
    <row r="44" ht="64" customHeight="1">
      <c r="A44" s="20" t="inlineStr">
        <is>
          <t>TB-033</t>
        </is>
      </c>
      <c r="B44" s="20" t="inlineStr">
        <is>
          <t>06 Evaluation</t>
        </is>
      </c>
      <c r="C44" s="20" t="inlineStr">
        <is>
          <t>Compute security and utility metrics</t>
        </is>
      </c>
      <c r="D44" s="23" t="inlineStr">
        <is>
          <t>Not Started</t>
        </is>
      </c>
      <c r="E44" s="20" t="inlineStr">
        <is>
          <t>TB-032</t>
        </is>
      </c>
      <c r="F44" s="20" t="str"/>
      <c r="G44" s="20">
        <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/>
      </c>
      <c r="H44" s="45" t="n">
        <v>4</v>
      </c>
      <c r="I44" s="23" t="str"/>
      <c r="J44" s="46" t="n"/>
      <c r="K44" s="20" t="inlineStr">
        <is>
          <t>Calculate attack success on eligible attacks, benign task completion and false blocks of permitted actions.</t>
        </is>
      </c>
      <c r="L44" s="20" t="inlineStr">
        <is>
          <t>Pandas, SciPy</t>
        </is>
      </c>
      <c r="M44" s="20" t="inlineStr">
        <is>
          <t>Raw task outcomes</t>
        </is>
      </c>
      <c r="N44" s="20" t="inlineStr">
        <is>
          <t>Report numerators, denominators and exclusions for every rate.</t>
        </is>
      </c>
      <c r="O44" s="20" t="inlineStr">
        <is>
          <t>reports/security-utility.csv</t>
        </is>
      </c>
      <c r="P44" s="20" t="inlineStr">
        <is>
          <t>Do not count blocked legitimate tasks as security successes alone.</t>
        </is>
      </c>
      <c r="Q44" s="20" t="inlineStr">
        <is>
          <t>Core</t>
        </is>
      </c>
      <c r="R44" s="20" t="str"/>
      <c r="S44" s="23" t="str"/>
      <c r="T44" s="23" t="str"/>
      <c r="U44" s="19">
        <f>IF(LEN(S44)&gt;0,1,0)</f>
        <v/>
      </c>
    </row>
    <row r="45" ht="64" customHeight="1">
      <c r="A45" s="19" t="inlineStr">
        <is>
          <t>TB-034</t>
        </is>
      </c>
      <c r="B45" s="19" t="inlineStr">
        <is>
          <t>06 Evaluation</t>
        </is>
      </c>
      <c r="C45" s="19" t="inlineStr">
        <is>
          <t>Estimate uncertainty and repeatability</t>
        </is>
      </c>
      <c r="D45" s="23" t="inlineStr">
        <is>
          <t>Not Started</t>
        </is>
      </c>
      <c r="E45" s="19" t="inlineStr">
        <is>
          <t>TB-033</t>
        </is>
      </c>
      <c r="F45" s="19" t="str"/>
      <c r="G45" s="19">
        <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f>
        <v/>
      </c>
      <c r="H45" s="45" t="n">
        <v>5</v>
      </c>
      <c r="I45" s="23" t="str"/>
      <c r="J45" s="46" t="n"/>
      <c r="K45" s="19" t="inlineStr">
        <is>
          <t>Bootstrap paired differences at task level; report intervals and per-family slices. Separate zero attacks observed from zero risk.</t>
        </is>
      </c>
      <c r="L45" s="19" t="inlineStr">
        <is>
          <t>SciPy, bootstrap script</t>
        </is>
      </c>
      <c r="M45" s="19" t="inlineStr">
        <is>
          <t>Paired run records</t>
        </is>
      </c>
      <c r="N45" s="19" t="inlineStr">
        <is>
          <t>Seeded analysis reproduces intervals and preserves task clusters.</t>
        </is>
      </c>
      <c r="O45" s="19" t="inlineStr">
        <is>
          <t>reports/uncertainty.json</t>
        </is>
      </c>
      <c r="P45" s="19" t="inlineStr">
        <is>
          <t>Small samples yield wide intervals; report them.</t>
        </is>
      </c>
      <c r="Q45" s="19" t="inlineStr">
        <is>
          <t>Core</t>
        </is>
      </c>
      <c r="R45" s="19" t="str"/>
      <c r="S45" s="23" t="str"/>
      <c r="T45" s="23" t="str"/>
      <c r="U45" s="19">
        <f>IF(LEN(S45)&gt;0,1,0)</f>
        <v/>
      </c>
    </row>
    <row r="46" ht="64" customHeight="1">
      <c r="A46" s="20" t="inlineStr">
        <is>
          <t>TB-035</t>
        </is>
      </c>
      <c r="B46" s="20" t="inlineStr">
        <is>
          <t>06 Evaluation</t>
        </is>
      </c>
      <c r="C46" s="20" t="inlineStr">
        <is>
          <t>Measure latency and operating cost</t>
        </is>
      </c>
      <c r="D46" s="23" t="inlineStr">
        <is>
          <t>Not Started</t>
        </is>
      </c>
      <c r="E46" s="20" t="inlineStr">
        <is>
          <t>TB-034</t>
        </is>
      </c>
      <c r="F46" s="20" t="str"/>
      <c r="G46" s="20">
        <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f>
        <v/>
      </c>
      <c r="H46" s="45" t="n">
        <v>4</v>
      </c>
      <c r="I46" s="23" t="str"/>
      <c r="J46" s="46" t="n"/>
      <c r="K46" s="20" t="inlineStr">
        <is>
          <t>Measure p50/p95 end-to-end time and billed tokens/currency per completed task, including failed attempts.</t>
        </is>
      </c>
      <c r="L46" s="20" t="inlineStr">
        <is>
          <t>Trace exporter, cost ledger</t>
        </is>
      </c>
      <c r="M46" s="20" t="inlineStr">
        <is>
          <t>Same workload and rate limits</t>
        </is>
      </c>
      <c r="N46" s="20" t="inlineStr">
        <is>
          <t>Comparison records concurrency, provider price date and retry settings.</t>
        </is>
      </c>
      <c r="O46" s="20" t="inlineStr">
        <is>
          <t>reports/cost-latency.csv</t>
        </is>
      </c>
      <c r="P46" s="20" t="inlineStr">
        <is>
          <t>Do not compare latency under different concurrency settings.</t>
        </is>
      </c>
      <c r="Q46" s="20" t="inlineStr">
        <is>
          <t>Core</t>
        </is>
      </c>
      <c r="R46" s="20" t="str"/>
      <c r="S46" s="23" t="str"/>
      <c r="T46" s="23" t="str"/>
      <c r="U46" s="19">
        <f>IF(LEN(S46)&gt;0,1,0)</f>
        <v/>
      </c>
    </row>
    <row r="47" ht="64" customHeight="1">
      <c r="A47" s="19" t="inlineStr">
        <is>
          <t>TB-036</t>
        </is>
      </c>
      <c r="B47" s="19" t="inlineStr">
        <is>
          <t>06 Evaluation</t>
        </is>
      </c>
      <c r="C47" s="19" t="inlineStr">
        <is>
          <t>Run ablations and publish negative results</t>
        </is>
      </c>
      <c r="D47" s="23" t="inlineStr">
        <is>
          <t>Not Started</t>
        </is>
      </c>
      <c r="E47" s="19" t="inlineStr">
        <is>
          <t>TB-035</t>
        </is>
      </c>
      <c r="F47" s="19" t="str"/>
      <c r="G47" s="19">
        <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f>
        <v/>
      </c>
      <c r="H47" s="45" t="n">
        <v>7</v>
      </c>
      <c r="I47" s="23" t="str"/>
      <c r="J47" s="46" t="n"/>
      <c r="K47" s="19" t="inlineStr">
        <is>
          <t>Compare baseline, schema-only policy, capability policy and full provenance/approval system under the same budget.</t>
        </is>
      </c>
      <c r="L47" s="19" t="inlineStr">
        <is>
          <t>Experiment CLI</t>
        </is>
      </c>
      <c r="M47" s="19" t="inlineStr">
        <is>
          <t>Frozen configurations</t>
        </is>
      </c>
      <c r="N47" s="19" t="inlineStr">
        <is>
          <t>Every component claim has an ablation or is labeled untested.</t>
        </is>
      </c>
      <c r="O47" s="19" t="inlineStr">
        <is>
          <t>reports/ablations.csv</t>
        </is>
      </c>
      <c r="P47" s="19" t="inlineStr">
        <is>
          <t>A null or negative result is valid research evidence.</t>
        </is>
      </c>
      <c r="Q47" s="19" t="inlineStr">
        <is>
          <t>Core</t>
        </is>
      </c>
      <c r="R47" s="19" t="str"/>
      <c r="S47" s="23" t="str"/>
      <c r="T47" s="23" t="str"/>
      <c r="U47" s="19">
        <f>IF(LEN(S47)&gt;0,1,0)</f>
        <v/>
      </c>
    </row>
    <row r="48" ht="64" customHeight="1">
      <c r="A48" s="21" t="inlineStr">
        <is>
          <t>TB-037</t>
        </is>
      </c>
      <c r="B48" s="21" t="inlineStr">
        <is>
          <t>07 Delivery &amp; operations</t>
        </is>
      </c>
      <c r="C48" s="21" t="inlineStr">
        <is>
          <t>Package reproducible benchmark CLI</t>
        </is>
      </c>
      <c r="D48" s="22" t="inlineStr">
        <is>
          <t>Not Started</t>
        </is>
      </c>
      <c r="E48" s="21" t="inlineStr">
        <is>
          <t>TB-036</t>
        </is>
      </c>
      <c r="F48" s="21" t="str"/>
      <c r="G48" s="21">
        <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f>
        <v/>
      </c>
      <c r="H48" s="43" t="n">
        <v>4</v>
      </c>
      <c r="I48" s="22" t="str"/>
      <c r="J48" s="44" t="n"/>
      <c r="K48" s="21" t="inlineStr">
        <is>
          <t>Provide commands for fixture validation, smoke, benchmark, evaluate and report with configuration files.</t>
        </is>
      </c>
      <c r="L48" s="21" t="inlineStr">
        <is>
          <t>Typer, Docker</t>
        </is>
      </c>
      <c r="M48" s="21" t="inlineStr">
        <is>
          <t>Pinned code and data manifests</t>
        </is>
      </c>
      <c r="N48" s="21" t="inlineStr">
        <is>
          <t>Fresh environment reproduces smoke results and report schema.</t>
        </is>
      </c>
      <c r="O48" s="21" t="inlineStr">
        <is>
          <t>README quickstart</t>
        </is>
      </c>
      <c r="P48" s="21" t="inlineStr">
        <is>
          <t>Full API runs require user-supplied credentials and budget.</t>
        </is>
      </c>
      <c r="Q48" s="21" t="inlineStr">
        <is>
          <t>Core</t>
        </is>
      </c>
      <c r="R48" s="21" t="str"/>
      <c r="S48" s="22" t="str"/>
      <c r="T48" s="22" t="str"/>
      <c r="U48" s="19">
        <f>IF(LEN(S48)&gt;0,1,0)</f>
        <v/>
      </c>
    </row>
    <row r="49" ht="64" customHeight="1">
      <c r="A49" s="19" t="inlineStr">
        <is>
          <t>TB-038</t>
        </is>
      </c>
      <c r="B49" s="19" t="inlineStr">
        <is>
          <t>07 Delivery &amp; operations</t>
        </is>
      </c>
      <c r="C49" s="19" t="inlineStr">
        <is>
          <t>Add regression release gate</t>
        </is>
      </c>
      <c r="D49" s="23" t="inlineStr">
        <is>
          <t>Not Started</t>
        </is>
      </c>
      <c r="E49" s="19" t="inlineStr">
        <is>
          <t>TB-037</t>
        </is>
      </c>
      <c r="F49" s="19" t="str"/>
      <c r="G49" s="19">
        <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f>
        <v/>
      </c>
      <c r="H49" s="45" t="n">
        <v>5</v>
      </c>
      <c r="I49" s="23" t="str"/>
      <c r="J49" s="46" t="n"/>
      <c r="K49" s="19" t="inlineStr">
        <is>
          <t>Gate on fixed smoke invariants and preregistered paired-regression tolerances; distinguish inconclusive from pass.</t>
        </is>
      </c>
      <c r="L49" s="19" t="inlineStr">
        <is>
          <t>GitHub Actions, pytest</t>
        </is>
      </c>
      <c r="M49" s="19" t="inlineStr">
        <is>
          <t>Baseline artifacts and tolerance config</t>
        </is>
      </c>
      <c r="N49" s="19" t="inlineStr">
        <is>
          <t>Injected functional/security regressions block the release.</t>
        </is>
      </c>
      <c r="O49" s="19" t="inlineStr">
        <is>
          <t>.github/workflows/</t>
        </is>
      </c>
      <c r="P49" s="19" t="inlineStr">
        <is>
          <t>A noisy model result should not silently pass or trigger endless reruns.</t>
        </is>
      </c>
      <c r="Q49" s="19" t="inlineStr">
        <is>
          <t>Core</t>
        </is>
      </c>
      <c r="R49" s="19" t="str"/>
      <c r="S49" s="23" t="str"/>
      <c r="T49" s="23" t="str"/>
      <c r="U49" s="19">
        <f>IF(LEN(S49)&gt;0,1,0)</f>
        <v/>
      </c>
    </row>
    <row r="50" ht="64" customHeight="1">
      <c r="A50" s="20" t="inlineStr">
        <is>
          <t>TB-039</t>
        </is>
      </c>
      <c r="B50" s="20" t="inlineStr">
        <is>
          <t>07 Delivery &amp; operations</t>
        </is>
      </c>
      <c r="C50" s="20" t="inlineStr">
        <is>
          <t>Secure benchmark API and storage</t>
        </is>
      </c>
      <c r="D50" s="23" t="inlineStr">
        <is>
          <t>Not Started</t>
        </is>
      </c>
      <c r="E50" s="20" t="inlineStr">
        <is>
          <t>TB-038</t>
        </is>
      </c>
      <c r="F50" s="20" t="str"/>
      <c r="G50" s="20">
        <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f>
        <v/>
      </c>
      <c r="H50" s="45" t="n">
        <v>4</v>
      </c>
      <c r="I50" s="23" t="str"/>
      <c r="J50" s="46" t="n"/>
      <c r="K50" s="20" t="inlineStr">
        <is>
          <t>Add authentication, per-user run isolation, request quotas and retention/deletion jobs.</t>
        </is>
      </c>
      <c r="L50" s="20" t="inlineStr">
        <is>
          <t>FastAPI, secrets manager</t>
        </is>
      </c>
      <c r="M50" s="20" t="inlineStr">
        <is>
          <t>Synthetic multi-user test cases</t>
        </is>
      </c>
      <c r="N50" s="20" t="inlineStr">
        <is>
          <t>Unauthorized read/run requests fail; deletion removes linked artifacts.</t>
        </is>
      </c>
      <c r="O50" s="20" t="inlineStr">
        <is>
          <t>tests/api-security/</t>
        </is>
      </c>
      <c r="P50" s="20" t="inlineStr">
        <is>
          <t>Use local deployment if hosted identity setup is unavailable.</t>
        </is>
      </c>
      <c r="Q50" s="20" t="inlineStr">
        <is>
          <t>Core</t>
        </is>
      </c>
      <c r="R50" s="20" t="str"/>
      <c r="S50" s="23" t="str"/>
      <c r="T50" s="23" t="str"/>
      <c r="U50" s="19">
        <f>IF(LEN(S50)&gt;0,1,0)</f>
        <v/>
      </c>
    </row>
    <row r="51" ht="64" customHeight="1">
      <c r="A51" s="19" t="inlineStr">
        <is>
          <t>TB-040</t>
        </is>
      </c>
      <c r="B51" s="19" t="inlineStr">
        <is>
          <t>07 Delivery &amp; operations</t>
        </is>
      </c>
      <c r="C51" s="19" t="inlineStr">
        <is>
          <t>Exercise faults and resource exhaustion</t>
        </is>
      </c>
      <c r="D51" s="23" t="inlineStr">
        <is>
          <t>Not Started</t>
        </is>
      </c>
      <c r="E51" s="19" t="inlineStr">
        <is>
          <t>TB-039</t>
        </is>
      </c>
      <c r="F51" s="19" t="str"/>
      <c r="G51" s="19">
        <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f>
        <v/>
      </c>
      <c r="H51" s="45" t="n">
        <v>5</v>
      </c>
      <c r="I51" s="23" t="str"/>
      <c r="J51" s="46" t="n"/>
      <c r="K51" s="19" t="inlineStr">
        <is>
          <t>Simulate unavailable model, corrupt checkpoint, tool crash and log-store failure. Check cancellation and clean recovery.</t>
        </is>
      </c>
      <c r="L51" s="19" t="inlineStr">
        <is>
          <t>Fault injection fixtures</t>
        </is>
      </c>
      <c r="M51" s="19" t="inlineStr">
        <is>
          <t>Staging environment</t>
        </is>
      </c>
      <c r="N51" s="19" t="inlineStr">
        <is>
          <t>Failures produce explicit status and do not bypass policy.</t>
        </is>
      </c>
      <c r="O51" s="19" t="inlineStr">
        <is>
          <t>reports/fault-drill.md</t>
        </is>
      </c>
      <c r="P51" s="19" t="inlineStr">
        <is>
          <t>Fail closed for uncertain authorization; report resulting availability cost.</t>
        </is>
      </c>
      <c r="Q51" s="19" t="inlineStr">
        <is>
          <t>Core</t>
        </is>
      </c>
      <c r="R51" s="19" t="str"/>
      <c r="S51" s="23" t="str"/>
      <c r="T51" s="23" t="str"/>
      <c r="U51" s="19">
        <f>IF(LEN(S51)&gt;0,1,0)</f>
        <v/>
      </c>
    </row>
    <row r="52" ht="64" customHeight="1">
      <c r="A52" s="20" t="inlineStr">
        <is>
          <t>TB-041</t>
        </is>
      </c>
      <c r="B52" s="20" t="inlineStr">
        <is>
          <t>07 Delivery &amp; operations</t>
        </is>
      </c>
      <c r="C52" s="20" t="inlineStr">
        <is>
          <t>Deploy a constrained demo</t>
        </is>
      </c>
      <c r="D52" s="23" t="inlineStr">
        <is>
          <t>Not Started</t>
        </is>
      </c>
      <c r="E52" s="20" t="inlineStr">
        <is>
          <t>TB-040</t>
        </is>
      </c>
      <c r="F52" s="20" t="str"/>
      <c r="G52" s="20">
        <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f>
        <v/>
      </c>
      <c r="H52" s="45" t="n">
        <v>4</v>
      </c>
      <c r="I52" s="23" t="str"/>
      <c r="J52" s="46" t="n"/>
      <c r="K52" s="20" t="inlineStr">
        <is>
          <t>Deploy synthetic workflows with spend caps and read-only public results; keep action endpoints authenticated.</t>
        </is>
      </c>
      <c r="L52" s="20" t="inlineStr">
        <is>
          <t>Docker Compose, chosen host</t>
        </is>
      </c>
      <c r="M52" s="20" t="inlineStr">
        <is>
          <t>Synthetic demonstration suite</t>
        </is>
      </c>
      <c r="N52" s="20" t="inlineStr">
        <is>
          <t>Demo health check, authentication and budget limits are verified.</t>
        </is>
      </c>
      <c r="O52" s="20" t="inlineStr">
        <is>
          <t>deployment runbook</t>
        </is>
      </c>
      <c r="P52" s="20" t="inlineStr">
        <is>
          <t>Do not expose benchmark credentials or attack controls publicly.</t>
        </is>
      </c>
      <c r="Q52" s="20" t="inlineStr">
        <is>
          <t>Core</t>
        </is>
      </c>
      <c r="R52" s="20" t="str"/>
      <c r="S52" s="23" t="str"/>
      <c r="T52" s="23" t="str"/>
      <c r="U52" s="19">
        <f>IF(LEN(S52)&gt;0,1,0)</f>
        <v/>
      </c>
    </row>
    <row r="53" ht="64" customHeight="1">
      <c r="A53" s="19" t="inlineStr">
        <is>
          <t>TB-042</t>
        </is>
      </c>
      <c r="B53" s="19" t="inlineStr">
        <is>
          <t>07 Delivery &amp; operations</t>
        </is>
      </c>
      <c r="C53" s="19" t="inlineStr">
        <is>
          <t>Test rollback and artifact restore</t>
        </is>
      </c>
      <c r="D53" s="23" t="inlineStr">
        <is>
          <t>Not Started</t>
        </is>
      </c>
      <c r="E53" s="19" t="inlineStr">
        <is>
          <t>TB-041</t>
        </is>
      </c>
      <c r="F53" s="19" t="str"/>
      <c r="G53" s="19">
        <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f>
        <v/>
      </c>
      <c r="H53" s="45" t="n">
        <v>3</v>
      </c>
      <c r="I53" s="23" t="str"/>
      <c r="J53" s="46" t="n"/>
      <c r="K53" s="19" t="inlineStr">
        <is>
          <t>Restore previous policy/config version and run-store backup; rerun representative fixtures.</t>
        </is>
      </c>
      <c r="L53" s="19" t="inlineStr">
        <is>
          <t>Versioned configs, backup script</t>
        </is>
      </c>
      <c r="M53" s="19" t="inlineStr">
        <is>
          <t>Previous release and synthetic backup</t>
        </is>
      </c>
      <c r="N53" s="19" t="inlineStr">
        <is>
          <t>Rollback restores expected behavior and audit trail.</t>
        </is>
      </c>
      <c r="O53" s="19" t="inlineStr">
        <is>
          <t>reports/rollback-drill.md</t>
        </is>
      </c>
      <c r="P53" s="19" t="inlineStr">
        <is>
          <t>Record recovery time as measured, not promised.</t>
        </is>
      </c>
      <c r="Q53" s="19" t="inlineStr">
        <is>
          <t>Core</t>
        </is>
      </c>
      <c r="R53" s="19" t="str"/>
      <c r="S53" s="23" t="str"/>
      <c r="T53" s="23" t="str"/>
      <c r="U53" s="19">
        <f>IF(LEN(S53)&gt;0,1,0)</f>
        <v/>
      </c>
    </row>
    <row r="54" ht="64" customHeight="1">
      <c r="A54" s="21" t="inlineStr">
        <is>
          <t>TB-043</t>
        </is>
      </c>
      <c r="B54" s="21" t="inlineStr">
        <is>
          <t>08 Research evidence</t>
        </is>
      </c>
      <c r="C54" s="21" t="inlineStr">
        <is>
          <t>Write related-work comparison matrix</t>
        </is>
      </c>
      <c r="D54" s="22" t="inlineStr">
        <is>
          <t>Not Started</t>
        </is>
      </c>
      <c r="E54" s="21" t="inlineStr">
        <is>
          <t>TB-036</t>
        </is>
      </c>
      <c r="F54" s="21" t="str"/>
      <c r="G54" s="21">
        <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f>
        <v/>
      </c>
      <c r="H54" s="43" t="n">
        <v>4</v>
      </c>
      <c r="I54" s="22" t="str"/>
      <c r="J54" s="44" t="n"/>
      <c r="K54" s="21" t="inlineStr">
        <is>
          <t>Compare threat models, enforcement boundaries, evaluation suites and claimed guarantees to prior systems.</t>
        </is>
      </c>
      <c r="L54" s="21" t="inlineStr">
        <is>
          <t>Literature spreadsheet</t>
        </is>
      </c>
      <c r="M54" s="21" t="inlineStr">
        <is>
          <t>AgentDojo, CaMeL, relevant new papers</t>
        </is>
      </c>
      <c r="N54" s="21" t="inlineStr">
        <is>
          <t>Every comparison has a source and a specific limitation.</t>
        </is>
      </c>
      <c r="O54" s="21" t="inlineStr">
        <is>
          <t>research/related-work.csv</t>
        </is>
      </c>
      <c r="P54" s="21" t="inlineStr">
        <is>
          <t>Refresh search before claiming a contribution.</t>
        </is>
      </c>
      <c r="Q54" s="21" t="inlineStr">
        <is>
          <t>Core</t>
        </is>
      </c>
      <c r="R54" s="21" t="inlineStr">
        <is>
          <t>TB-S1, TB-S2</t>
        </is>
      </c>
      <c r="S54" s="22" t="str"/>
      <c r="T54" s="22" t="str"/>
      <c r="U54" s="19">
        <f>IF(LEN(S54)&gt;0,1,0)</f>
        <v/>
      </c>
    </row>
    <row r="55" ht="64" customHeight="1">
      <c r="A55" s="19" t="inlineStr">
        <is>
          <t>TB-044</t>
        </is>
      </c>
      <c r="B55" s="19" t="inlineStr">
        <is>
          <t>08 Research evidence</t>
        </is>
      </c>
      <c r="C55" s="19" t="inlineStr">
        <is>
          <t>Test research hypothesis explicitly</t>
        </is>
      </c>
      <c r="D55" s="23" t="inlineStr">
        <is>
          <t>Not Started</t>
        </is>
      </c>
      <c r="E55" s="19" t="inlineStr">
        <is>
          <t>TB-043</t>
        </is>
      </c>
      <c r="F55" s="19" t="str"/>
      <c r="G55" s="19">
        <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f>
        <v/>
      </c>
      <c r="H55" s="45" t="n">
        <v>5</v>
      </c>
      <c r="I55" s="23" t="str"/>
      <c r="J55" s="46" t="n"/>
      <c r="K55" s="19" t="inlineStr">
        <is>
          <t>Assess whether provenance-aware enforcement improves attack resistance at comparable benign utility and cost.</t>
        </is>
      </c>
      <c r="L55" s="19" t="inlineStr">
        <is>
          <t>Paired analysis</t>
        </is>
      </c>
      <c r="M55" s="19" t="inlineStr">
        <is>
          <t>Holdout and ablation outputs</t>
        </is>
      </c>
      <c r="N55" s="19" t="inlineStr">
        <is>
          <t>Conclusion states effect sizes, uncertainty and failure slices.</t>
        </is>
      </c>
      <c r="O55" s="19" t="inlineStr">
        <is>
          <t>research/findings.md</t>
        </is>
      </c>
      <c r="P55" s="19" t="inlineStr">
        <is>
          <t>Combining existing components is not by itself novel.</t>
        </is>
      </c>
      <c r="Q55" s="19" t="inlineStr">
        <is>
          <t>Core</t>
        </is>
      </c>
      <c r="R55" s="19" t="str"/>
      <c r="S55" s="23" t="str"/>
      <c r="T55" s="23" t="str"/>
      <c r="U55" s="19">
        <f>IF(LEN(S55)&gt;0,1,0)</f>
        <v/>
      </c>
    </row>
    <row r="56" ht="64" customHeight="1">
      <c r="A56" s="20" t="inlineStr">
        <is>
          <t>TB-045</t>
        </is>
      </c>
      <c r="B56" s="20" t="inlineStr">
        <is>
          <t>08 Research evidence</t>
        </is>
      </c>
      <c r="C56" s="20" t="inlineStr">
        <is>
          <t>Audit labels and evaluator quality</t>
        </is>
      </c>
      <c r="D56" s="23" t="inlineStr">
        <is>
          <t>Not Started</t>
        </is>
      </c>
      <c r="E56" s="20" t="inlineStr">
        <is>
          <t>TB-044</t>
        </is>
      </c>
      <c r="F56" s="20" t="str"/>
      <c r="G56" s="20">
        <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f>
        <v/>
      </c>
      <c r="H56" s="45" t="n">
        <v>4</v>
      </c>
      <c r="I56" s="23" t="str"/>
      <c r="J56" s="46" t="n"/>
      <c r="K56" s="20" t="inlineStr">
        <is>
          <t>Double-review a stratified sample of successes and failures. Adjudicate disagreements and record evaluator changes.</t>
        </is>
      </c>
      <c r="L56" s="20" t="inlineStr">
        <is>
          <t>Annotation sheet</t>
        </is>
      </c>
      <c r="M56" s="20" t="inlineStr">
        <is>
          <t>Raw traces and expected state</t>
        </is>
      </c>
      <c r="N56" s="20" t="inlineStr">
        <is>
          <t>Report sample method, agreement and adjudication outcomes.</t>
        </is>
      </c>
      <c r="O56" s="20" t="inlineStr">
        <is>
          <t>research/label-audit.csv</t>
        </is>
      </c>
      <c r="P56" s="20" t="inlineStr">
        <is>
          <t>If labels change, rerun affected metrics without cherry-picking.</t>
        </is>
      </c>
      <c r="Q56" s="20" t="inlineStr">
        <is>
          <t>Core</t>
        </is>
      </c>
      <c r="R56" s="20" t="str"/>
      <c r="S56" s="23" t="str"/>
      <c r="T56" s="23" t="str"/>
      <c r="U56" s="19">
        <f>IF(LEN(S56)&gt;0,1,0)</f>
        <v/>
      </c>
    </row>
    <row r="57" ht="64" customHeight="1">
      <c r="A57" s="19" t="inlineStr">
        <is>
          <t>TB-046</t>
        </is>
      </c>
      <c r="B57" s="19" t="inlineStr">
        <is>
          <t>08 Research evidence</t>
        </is>
      </c>
      <c r="C57" s="19" t="inlineStr">
        <is>
          <t>Package reproducibility artifacts</t>
        </is>
      </c>
      <c r="D57" s="23" t="inlineStr">
        <is>
          <t>Not Started</t>
        </is>
      </c>
      <c r="E57" s="19" t="inlineStr">
        <is>
          <t>TB-045</t>
        </is>
      </c>
      <c r="F57" s="19" t="str"/>
      <c r="G57" s="19">
        <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f>
        <v/>
      </c>
      <c r="H57" s="45" t="n">
        <v>4</v>
      </c>
      <c r="I57" s="23" t="str"/>
      <c r="J57" s="46" t="n"/>
      <c r="K57" s="19" t="inlineStr">
        <is>
          <t>Publish allowed fixture IDs, seeds, configs, hashes and analysis scripts. Exclude secrets and restricted data.</t>
        </is>
      </c>
      <c r="L57" s="19" t="inlineStr">
        <is>
          <t>Git release, data manifest</t>
        </is>
      </c>
      <c r="M57" s="19" t="inlineStr">
        <is>
          <t>Final experiment artifacts</t>
        </is>
      </c>
      <c r="N57" s="19" t="inlineStr">
        <is>
          <t>Another user can reproduce an offline subset from documented steps.</t>
        </is>
      </c>
      <c r="O57" s="19" t="inlineStr">
        <is>
          <t>repro/</t>
        </is>
      </c>
      <c r="P57" s="19" t="inlineStr">
        <is>
          <t>Provider behavior may prevent exact replay of historical runs.</t>
        </is>
      </c>
      <c r="Q57" s="19" t="inlineStr">
        <is>
          <t>Core</t>
        </is>
      </c>
      <c r="R57" s="19" t="str"/>
      <c r="S57" s="23" t="str"/>
      <c r="T57" s="23" t="str"/>
      <c r="U57" s="19">
        <f>IF(LEN(S57)&gt;0,1,0)</f>
        <v/>
      </c>
    </row>
    <row r="58" ht="64" customHeight="1">
      <c r="A58" s="20" t="inlineStr">
        <is>
          <t>TB-047</t>
        </is>
      </c>
      <c r="B58" s="20" t="inlineStr">
        <is>
          <t>08 Research evidence</t>
        </is>
      </c>
      <c r="C58" s="20" t="inlineStr">
        <is>
          <t>Draft technical report</t>
        </is>
      </c>
      <c r="D58" s="23" t="inlineStr">
        <is>
          <t>Not Started</t>
        </is>
      </c>
      <c r="E58" s="20" t="inlineStr">
        <is>
          <t>TB-046</t>
        </is>
      </c>
      <c r="F58" s="20" t="str"/>
      <c r="G58" s="20">
        <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f>
        <v/>
      </c>
      <c r="H58" s="45" t="n">
        <v>5</v>
      </c>
      <c r="I58" s="23" t="str"/>
      <c r="J58" s="46" t="n"/>
      <c r="K58" s="20" t="inlineStr">
        <is>
          <t>Write problem, method, threat model, experimental design, results, failure cases and limits with evidence links.</t>
        </is>
      </c>
      <c r="L58" s="20" t="inlineStr">
        <is>
          <t>Markdown or LaTeX</t>
        </is>
      </c>
      <c r="M58" s="20" t="inlineStr">
        <is>
          <t>Verified experiment tables</t>
        </is>
      </c>
      <c r="N58" s="20" t="inlineStr">
        <is>
          <t>All numeric claims map to stored run artifacts.</t>
        </is>
      </c>
      <c r="O58" s="20" t="inlineStr">
        <is>
          <t>research/report.pdf or report.md</t>
        </is>
      </c>
      <c r="P58" s="20" t="inlineStr">
        <is>
          <t>Do not imply publication acceptance or patentability.</t>
        </is>
      </c>
      <c r="Q58" s="20" t="inlineStr">
        <is>
          <t>Core</t>
        </is>
      </c>
      <c r="R58" s="20" t="str"/>
      <c r="S58" s="23" t="str"/>
      <c r="T58" s="23" t="str"/>
      <c r="U58" s="19">
        <f>IF(LEN(S58)&gt;0,1,0)</f>
        <v/>
      </c>
    </row>
    <row r="59" ht="64" customHeight="1">
      <c r="A59" s="19" t="inlineStr">
        <is>
          <t>TB-048</t>
        </is>
      </c>
      <c r="B59" s="19" t="inlineStr">
        <is>
          <t>08 Research evidence</t>
        </is>
      </c>
      <c r="C59" s="19" t="inlineStr">
        <is>
          <t>Review contribution and claim boundaries</t>
        </is>
      </c>
      <c r="D59" s="23" t="inlineStr">
        <is>
          <t>Not Started</t>
        </is>
      </c>
      <c r="E59" s="19" t="inlineStr">
        <is>
          <t>TB-047</t>
        </is>
      </c>
      <c r="F59" s="19" t="str"/>
      <c r="G59" s="19">
        <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f>
        <v/>
      </c>
      <c r="H59" s="45" t="n">
        <v>3</v>
      </c>
      <c r="I59" s="23" t="str"/>
      <c r="J59" s="46" t="n"/>
      <c r="K59" s="19" t="inlineStr">
        <is>
          <t>Separate replicated components, engineering contributions and hypotheses needing more evidence.</t>
        </is>
      </c>
      <c r="L59" s="19" t="inlineStr">
        <is>
          <t>Claim checklist</t>
        </is>
      </c>
      <c r="M59" s="19" t="inlineStr">
        <is>
          <t>Report and prior-work matrix</t>
        </is>
      </c>
      <c r="N59" s="19" t="inlineStr">
        <is>
          <t>No novelty, security guarantee or resume metric exceeds evidence.</t>
        </is>
      </c>
      <c r="O59" s="19" t="inlineStr">
        <is>
          <t>research/claims.md</t>
        </is>
      </c>
      <c r="P59" s="19" t="inlineStr">
        <is>
          <t>Seek specialist review before any patent or publication claim.</t>
        </is>
      </c>
      <c r="Q59" s="19" t="inlineStr">
        <is>
          <t>Core</t>
        </is>
      </c>
      <c r="R59" s="19" t="str"/>
      <c r="S59" s="23" t="str"/>
      <c r="T59" s="23" t="str"/>
      <c r="U59" s="19">
        <f>IF(LEN(S59)&gt;0,1,0)</f>
        <v/>
      </c>
    </row>
    <row r="60" ht="64" customHeight="1">
      <c r="A60" s="21" t="inlineStr">
        <is>
          <t>TB-049</t>
        </is>
      </c>
      <c r="B60" s="21" t="inlineStr">
        <is>
          <t>09 Portfolio release</t>
        </is>
      </c>
      <c r="C60" s="21" t="inlineStr">
        <is>
          <t>Create architecture and walkthrough</t>
        </is>
      </c>
      <c r="D60" s="22" t="inlineStr">
        <is>
          <t>Not Started</t>
        </is>
      </c>
      <c r="E60" s="21" t="inlineStr">
        <is>
          <t>TB-042</t>
        </is>
      </c>
      <c r="F60" s="21" t="inlineStr">
        <is>
          <t>TB-048</t>
        </is>
      </c>
      <c r="G60" s="21">
        <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f>
        <v/>
      </c>
      <c r="H60" s="43" t="n">
        <v>3</v>
      </c>
      <c r="I60" s="22" t="str"/>
      <c r="J60" s="44" t="n"/>
      <c r="K60" s="21" t="inlineStr">
        <is>
          <t>Diagram trust boundaries and record a benign run, blocked attack, failure trace and release-gate example.</t>
        </is>
      </c>
      <c r="L60" s="21" t="inlineStr">
        <is>
          <t>Mermaid, screen recording</t>
        </is>
      </c>
      <c r="M60" s="21" t="inlineStr">
        <is>
          <t>Synthetic demo</t>
        </is>
      </c>
      <c r="N60" s="21" t="inlineStr">
        <is>
          <t>Walkthrough explains each result and its underlying evidence.</t>
        </is>
      </c>
      <c r="O60" s="21" t="inlineStr">
        <is>
          <t>docs/architecture.md and demo video</t>
        </is>
      </c>
      <c r="P60" s="21" t="inlineStr">
        <is>
          <t>Do not stage fake measured outcomes.</t>
        </is>
      </c>
      <c r="Q60" s="21" t="inlineStr">
        <is>
          <t>Core</t>
        </is>
      </c>
      <c r="R60" s="21" t="str"/>
      <c r="S60" s="22" t="str"/>
      <c r="T60" s="22" t="str"/>
      <c r="U60" s="19">
        <f>IF(LEN(S60)&gt;0,1,0)</f>
        <v/>
      </c>
    </row>
    <row r="61" ht="64" customHeight="1">
      <c r="A61" s="19" t="inlineStr">
        <is>
          <t>TB-050</t>
        </is>
      </c>
      <c r="B61" s="19" t="inlineStr">
        <is>
          <t>09 Portfolio release</t>
        </is>
      </c>
      <c r="C61" s="19" t="inlineStr">
        <is>
          <t>Document setup and troubleshooting</t>
        </is>
      </c>
      <c r="D61" s="23" t="inlineStr">
        <is>
          <t>Not Started</t>
        </is>
      </c>
      <c r="E61" s="19" t="inlineStr">
        <is>
          <t>TB-049</t>
        </is>
      </c>
      <c r="F61" s="19" t="str"/>
      <c r="G61" s="19">
        <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f>
        <v/>
      </c>
      <c r="H61" s="45" t="n">
        <v>3</v>
      </c>
      <c r="I61" s="23" t="str"/>
      <c r="J61" s="46" t="n"/>
      <c r="K61" s="19" t="inlineStr">
        <is>
          <t>Provide install, API key setup, budget controls, expected smoke outputs and failure recovery instructions.</t>
        </is>
      </c>
      <c r="L61" s="19" t="inlineStr">
        <is>
          <t>README</t>
        </is>
      </c>
      <c r="M61" s="19" t="inlineStr">
        <is>
          <t>Clean-environment installation</t>
        </is>
      </c>
      <c r="N61" s="19" t="inlineStr">
        <is>
          <t>A fresh user can follow the instructions without hidden local files.</t>
        </is>
      </c>
      <c r="O61" s="19" t="inlineStr">
        <is>
          <t>README.md</t>
        </is>
      </c>
      <c r="P61" s="19" t="inlineStr">
        <is>
          <t>Document minimum tested environment only.</t>
        </is>
      </c>
      <c r="Q61" s="19" t="inlineStr">
        <is>
          <t>Core</t>
        </is>
      </c>
      <c r="R61" s="19" t="str"/>
      <c r="S61" s="23" t="str"/>
      <c r="T61" s="23" t="str"/>
      <c r="U61" s="19">
        <f>IF(LEN(S61)&gt;0,1,0)</f>
        <v/>
      </c>
    </row>
    <row r="62" ht="64" customHeight="1">
      <c r="A62" s="20" t="inlineStr">
        <is>
          <t>TB-051</t>
        </is>
      </c>
      <c r="B62" s="20" t="inlineStr">
        <is>
          <t>09 Portfolio release</t>
        </is>
      </c>
      <c r="C62" s="20" t="inlineStr">
        <is>
          <t>Run final clean-checkout verification</t>
        </is>
      </c>
      <c r="D62" s="23" t="inlineStr">
        <is>
          <t>Not Started</t>
        </is>
      </c>
      <c r="E62" s="20" t="inlineStr">
        <is>
          <t>TB-050</t>
        </is>
      </c>
      <c r="F62" s="20" t="str"/>
      <c r="G62" s="20">
        <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f>
        <v/>
      </c>
      <c r="H62" s="45" t="n">
        <v>4</v>
      </c>
      <c r="I62" s="23" t="str"/>
      <c r="J62" s="46" t="n"/>
      <c r="K62" s="20" t="inlineStr">
        <is>
          <t>Install locked dependencies, run fixtures and regression checks, rebuild demo and verify linked reports.</t>
        </is>
      </c>
      <c r="L62" s="20" t="inlineStr">
        <is>
          <t>CI, Docker</t>
        </is>
      </c>
      <c r="M62" s="20" t="inlineStr">
        <is>
          <t>Release candidate</t>
        </is>
      </c>
      <c r="N62" s="20" t="inlineStr">
        <is>
          <t>All required checks pass or release is blocked with a written reason.</t>
        </is>
      </c>
      <c r="O62" s="20" t="inlineStr">
        <is>
          <t>release/checks.json</t>
        </is>
      </c>
      <c r="P62" s="20" t="inlineStr">
        <is>
          <t>Do not equate a passing smoke suite with full benchmark replication.</t>
        </is>
      </c>
      <c r="Q62" s="20" t="inlineStr">
        <is>
          <t>Core</t>
        </is>
      </c>
      <c r="R62" s="20" t="str"/>
      <c r="S62" s="23" t="str"/>
      <c r="T62" s="23" t="str"/>
      <c r="U62" s="19">
        <f>IF(LEN(S62)&gt;0,1,0)</f>
        <v/>
      </c>
    </row>
    <row r="63" ht="64" customHeight="1">
      <c r="A63" s="19" t="inlineStr">
        <is>
          <t>TB-052</t>
        </is>
      </c>
      <c r="B63" s="19" t="inlineStr">
        <is>
          <t>09 Portfolio release</t>
        </is>
      </c>
      <c r="C63" s="19" t="inlineStr">
        <is>
          <t>Prepare measured resume bullets</t>
        </is>
      </c>
      <c r="D63" s="23" t="inlineStr">
        <is>
          <t>Not Started</t>
        </is>
      </c>
      <c r="E63" s="19" t="inlineStr">
        <is>
          <t>TB-051</t>
        </is>
      </c>
      <c r="F63" s="19" t="str"/>
      <c r="G63" s="19">
        <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f>
        <v/>
      </c>
      <c r="H63" s="45" t="n">
        <v>2</v>
      </c>
      <c r="I63" s="23" t="str"/>
      <c r="J63" s="46" t="n"/>
      <c r="K63" s="19" t="inlineStr">
        <is>
          <t>Write problem/action/result bullets using only completed evaluations, sample sizes and reproducible evidence.</t>
        </is>
      </c>
      <c r="L63" s="19" t="inlineStr">
        <is>
          <t>Claim-to-evidence table</t>
        </is>
      </c>
      <c r="M63" s="19" t="inlineStr">
        <is>
          <t>Final report</t>
        </is>
      </c>
      <c r="N63" s="19" t="inlineStr">
        <is>
          <t>Every number has a run/report reference; unknowns are omitted.</t>
        </is>
      </c>
      <c r="O63" s="19" t="inlineStr">
        <is>
          <t>portfolio/bullets.md</t>
        </is>
      </c>
      <c r="P63" s="19" t="inlineStr">
        <is>
          <t>No top-1-percent or guaranteed-hiring claims.</t>
        </is>
      </c>
      <c r="Q63" s="19" t="inlineStr">
        <is>
          <t>Core</t>
        </is>
      </c>
      <c r="R63" s="19" t="str"/>
      <c r="S63" s="23" t="str"/>
      <c r="T63" s="23" t="str"/>
      <c r="U63" s="19">
        <f>IF(LEN(S63)&gt;0,1,0)</f>
        <v/>
      </c>
    </row>
    <row r="64" ht="64" customHeight="1">
      <c r="A64" s="20" t="inlineStr">
        <is>
          <t>TB-053</t>
        </is>
      </c>
      <c r="B64" s="20" t="inlineStr">
        <is>
          <t>09 Portfolio release</t>
        </is>
      </c>
      <c r="C64" s="20" t="inlineStr">
        <is>
          <t>Publish versioned release package</t>
        </is>
      </c>
      <c r="D64" s="23" t="inlineStr">
        <is>
          <t>Not Started</t>
        </is>
      </c>
      <c r="E64" s="20" t="inlineStr">
        <is>
          <t>TB-052</t>
        </is>
      </c>
      <c r="F64" s="20" t="str"/>
      <c r="G64" s="20">
        <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f>
        <v/>
      </c>
      <c r="H64" s="45" t="n">
        <v>2</v>
      </c>
      <c r="I64" s="23" t="str"/>
      <c r="J64" s="46" t="n"/>
      <c r="K64" s="20" t="inlineStr">
        <is>
          <t>Tag code, attach report, license notices and reproduction manifest; verify download links.</t>
        </is>
      </c>
      <c r="L64" s="20" t="inlineStr">
        <is>
          <t>Git releases</t>
        </is>
      </c>
      <c r="M64" s="20" t="inlineStr">
        <is>
          <t>Release candidate and allowed assets</t>
        </is>
      </c>
      <c r="N64" s="20" t="inlineStr">
        <is>
          <t>Published package contains no keys and has a working quickstart.</t>
        </is>
      </c>
      <c r="O64" s="20" t="inlineStr">
        <is>
          <t>Release URL</t>
        </is>
      </c>
      <c r="P64" s="20" t="inlineStr">
        <is>
          <t>Check benchmark redistribution terms before uploading fixtures.</t>
        </is>
      </c>
      <c r="Q64" s="20" t="inlineStr">
        <is>
          <t>Core</t>
        </is>
      </c>
      <c r="R64" s="20" t="str"/>
      <c r="S64" s="23" t="str"/>
      <c r="T64" s="23" t="str"/>
      <c r="U64" s="19">
        <f>IF(LEN(S64)&gt;0,1,0)</f>
        <v/>
      </c>
    </row>
    <row r="65" ht="64" customHeight="1">
      <c r="A65" s="19" t="inlineStr">
        <is>
          <t>TB-054</t>
        </is>
      </c>
      <c r="B65" s="19" t="inlineStr">
        <is>
          <t>09 Portfolio release</t>
        </is>
      </c>
      <c r="C65" s="19" t="inlineStr">
        <is>
          <t>Complete handover and backlog</t>
        </is>
      </c>
      <c r="D65" s="23" t="inlineStr">
        <is>
          <t>Not Started</t>
        </is>
      </c>
      <c r="E65" s="19" t="inlineStr">
        <is>
          <t>TB-053</t>
        </is>
      </c>
      <c r="F65" s="19" t="str"/>
      <c r="G65" s="19">
        <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f>
        <v/>
      </c>
      <c r="H65" s="45" t="n">
        <v>2</v>
      </c>
      <c r="I65" s="23" t="str"/>
      <c r="J65" s="46" t="n"/>
      <c r="K65" s="19" t="inlineStr">
        <is>
          <t>Record unresolved failure modes, supported versions, next experiment and maintenance triggers.</t>
        </is>
      </c>
      <c r="L65" s="19" t="inlineStr">
        <is>
          <t>Issue tracker</t>
        </is>
      </c>
      <c r="M65" s="19" t="inlineStr">
        <is>
          <t>Open risks and results</t>
        </is>
      </c>
      <c r="N65" s="19" t="inlineStr">
        <is>
          <t>All Core tasks have acceptance evidence or remain open.</t>
        </is>
      </c>
      <c r="O65" s="19" t="inlineStr">
        <is>
          <t>docs/handover.md</t>
        </is>
      </c>
      <c r="P65" s="19" t="inlineStr">
        <is>
          <t>Completion means an evidenced project, not universal agent security.</t>
        </is>
      </c>
      <c r="Q65" s="19" t="inlineStr">
        <is>
          <t>Core</t>
        </is>
      </c>
      <c r="R65" s="19" t="str"/>
      <c r="S65" s="23" t="str"/>
      <c r="T65" s="23" t="str"/>
      <c r="U65" s="19">
        <f>IF(LEN(S65)&gt;0,1,0)</f>
        <v/>
      </c>
    </row>
    <row r="66" ht="64" customHeight="1">
      <c r="A66" s="21" t="inlineStr">
        <is>
          <t>TB-055</t>
        </is>
      </c>
      <c r="B66" s="21" t="inlineStr">
        <is>
          <t>10 Extensions</t>
        </is>
      </c>
      <c r="C66" s="21" t="inlineStr">
        <is>
          <t>Evaluate another model family</t>
        </is>
      </c>
      <c r="D66" s="22" t="inlineStr">
        <is>
          <t>Not Started</t>
        </is>
      </c>
      <c r="E66" s="21" t="inlineStr">
        <is>
          <t>TB-054</t>
        </is>
      </c>
      <c r="F66" s="21" t="str"/>
      <c r="G66" s="21">
        <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f>
        <v/>
      </c>
      <c r="H66" s="43" t="n">
        <v>8</v>
      </c>
      <c r="I66" s="22" t="str"/>
      <c r="J66" s="44" t="n"/>
      <c r="K66" s="21" t="inlineStr">
        <is>
          <t>Repeat paired evaluation with a second model under documented budgets.</t>
        </is>
      </c>
      <c r="L66" s="21" t="inlineStr">
        <is>
          <t>Provider adapter</t>
        </is>
      </c>
      <c r="M66" s="21" t="inlineStr">
        <is>
          <t>Same holdout tasks</t>
        </is>
      </c>
      <c r="N66" s="21" t="inlineStr">
        <is>
          <t>Model-specific results and version differences are reported.</t>
        </is>
      </c>
      <c r="O66" s="21" t="inlineStr">
        <is>
          <t>extensions/model-transfer/</t>
        </is>
      </c>
      <c r="P66" s="21" t="inlineStr">
        <is>
          <t>Additional API budget required.</t>
        </is>
      </c>
      <c r="Q66" s="21" t="inlineStr">
        <is>
          <t>Extension</t>
        </is>
      </c>
      <c r="R66" s="21" t="str"/>
      <c r="S66" s="22" t="str"/>
      <c r="T66" s="22" t="str"/>
      <c r="U66" s="19">
        <f>IF(LEN(S66)&gt;0,1,0)</f>
        <v/>
      </c>
    </row>
    <row r="67" ht="64" customHeight="1">
      <c r="A67" s="19" t="inlineStr">
        <is>
          <t>TB-056</t>
        </is>
      </c>
      <c r="B67" s="19" t="inlineStr">
        <is>
          <t>10 Extensions</t>
        </is>
      </c>
      <c r="C67" s="19" t="inlineStr">
        <is>
          <t>Explore adaptive policy selection</t>
        </is>
      </c>
      <c r="D67" s="23" t="inlineStr">
        <is>
          <t>Not Started</t>
        </is>
      </c>
      <c r="E67" s="19" t="inlineStr">
        <is>
          <t>TB-054</t>
        </is>
      </c>
      <c r="F67" s="19" t="str"/>
      <c r="G67" s="19">
        <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f>
        <v/>
      </c>
      <c r="H67" s="45" t="n">
        <v>12</v>
      </c>
      <c r="I67" s="23" t="str"/>
      <c r="J67" s="46" t="n"/>
      <c r="K67" s="19" t="inlineStr">
        <is>
          <t>Learn or tune policy selection on tuning data and evaluate held-out utility/security tradeoffs.</t>
        </is>
      </c>
      <c r="L67" s="19" t="inlineStr">
        <is>
          <t>Policy selector</t>
        </is>
      </c>
      <c r="M67" s="19" t="inlineStr">
        <is>
          <t>Frozen baseline and tuning set</t>
        </is>
      </c>
      <c r="N67" s="19" t="inlineStr">
        <is>
          <t>Improvement is assessed against a fixed-policy comparator.</t>
        </is>
      </c>
      <c r="O67" s="19" t="inlineStr">
        <is>
          <t>extensions/adaptive-policy/</t>
        </is>
      </c>
      <c r="P67" s="19" t="inlineStr">
        <is>
          <t>Adaptation can create new attack paths.</t>
        </is>
      </c>
      <c r="Q67" s="19" t="inlineStr">
        <is>
          <t>Extension</t>
        </is>
      </c>
      <c r="R67" s="19" t="str"/>
      <c r="S67" s="23" t="str"/>
      <c r="T67" s="23" t="str"/>
      <c r="U67" s="19">
        <f>IF(LEN(S67)&gt;0,1,0)</f>
        <v/>
      </c>
    </row>
    <row r="68" ht="64" customHeight="1">
      <c r="A68" s="20" t="inlineStr">
        <is>
          <t>TB-057</t>
        </is>
      </c>
      <c r="B68" s="20" t="inlineStr">
        <is>
          <t>10 Extensions</t>
        </is>
      </c>
      <c r="C68" s="20" t="inlineStr">
        <is>
          <t>Test cross-session memory attacks</t>
        </is>
      </c>
      <c r="D68" s="23" t="inlineStr">
        <is>
          <t>Not Started</t>
        </is>
      </c>
      <c r="E68" s="20" t="inlineStr">
        <is>
          <t>TB-054</t>
        </is>
      </c>
      <c r="F68" s="20" t="str"/>
      <c r="G68" s="20">
        <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f>
        <v/>
      </c>
      <c r="H68" s="45" t="n">
        <v>8</v>
      </c>
      <c r="I68" s="23" t="str"/>
      <c r="J68" s="46" t="n"/>
      <c r="K68" s="20" t="inlineStr">
        <is>
          <t>Add synthetic memory store and contamination fixtures with strict tenant boundaries.</t>
        </is>
      </c>
      <c r="L68" s="20" t="inlineStr">
        <is>
          <t>Sandbox memory service</t>
        </is>
      </c>
      <c r="M68" s="20" t="inlineStr">
        <is>
          <t>New attack-family holdout</t>
        </is>
      </c>
      <c r="N68" s="20" t="inlineStr">
        <is>
          <t>Report memory-specific threat model and residual failures.</t>
        </is>
      </c>
      <c r="O68" s="20" t="inlineStr">
        <is>
          <t>extensions/memory/</t>
        </is>
      </c>
      <c r="P68" s="20" t="inlineStr">
        <is>
          <t>Requires new labels and reset semantics.</t>
        </is>
      </c>
      <c r="Q68" s="20" t="inlineStr">
        <is>
          <t>Extension</t>
        </is>
      </c>
      <c r="R68" s="20" t="str"/>
      <c r="S68" s="23" t="str"/>
      <c r="T68" s="23" t="str"/>
      <c r="U68" s="19">
        <f>IF(LEN(S68)&gt;0,1,0)</f>
        <v/>
      </c>
    </row>
    <row r="69" ht="64" customHeight="1">
      <c r="A69" s="19" t="inlineStr">
        <is>
          <t>TB-058</t>
        </is>
      </c>
      <c r="B69" s="19" t="inlineStr">
        <is>
          <t>10 Extensions</t>
        </is>
      </c>
      <c r="C69" s="19" t="inlineStr">
        <is>
          <t>Measure attribution intervention quality</t>
        </is>
      </c>
      <c r="D69" s="23" t="inlineStr">
        <is>
          <t>Not Started</t>
        </is>
      </c>
      <c r="E69" s="19" t="inlineStr">
        <is>
          <t>TB-054</t>
        </is>
      </c>
      <c r="F69" s="19" t="str"/>
      <c r="G69" s="19">
        <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f>
        <v/>
      </c>
      <c r="H69" s="45" t="n">
        <v>10</v>
      </c>
      <c r="I69" s="23" t="str"/>
      <c r="J69" s="46" t="n"/>
      <c r="K69" s="19" t="inlineStr">
        <is>
          <t>Remove or replace suspected faulty steps and test whether predicted fixes actually improve outcomes.</t>
        </is>
      </c>
      <c r="L69" s="19" t="inlineStr">
        <is>
          <t>Controlled replay</t>
        </is>
      </c>
      <c r="M69" s="19" t="inlineStr">
        <is>
          <t>Labeled trajectory failures</t>
        </is>
      </c>
      <c r="N69" s="19" t="inlineStr">
        <is>
          <t>Intervention effects support or refute attribution claims.</t>
        </is>
      </c>
      <c r="O69" s="19" t="inlineStr">
        <is>
          <t>extensions/causal-study/</t>
        </is>
      </c>
      <c r="P69" s="19" t="inlineStr">
        <is>
          <t>Counterfactual replay can alter downstream behavior.</t>
        </is>
      </c>
      <c r="Q69" s="19" t="inlineStr">
        <is>
          <t>Extension</t>
        </is>
      </c>
      <c r="R69" s="19" t="str"/>
      <c r="S69" s="23" t="str"/>
      <c r="T69" s="23" t="str"/>
      <c r="U69" s="19">
        <f>IF(LEN(S69)&gt;0,1,0)</f>
        <v/>
      </c>
    </row>
    <row r="70" ht="64" customHeight="1">
      <c r="A70" s="20" t="inlineStr">
        <is>
          <t>TB-059</t>
        </is>
      </c>
      <c r="B70" s="20" t="inlineStr">
        <is>
          <t>10 Extensions</t>
        </is>
      </c>
      <c r="C70" s="20" t="inlineStr">
        <is>
          <t>Run external reproduction review</t>
        </is>
      </c>
      <c r="D70" s="23" t="inlineStr">
        <is>
          <t>Not Started</t>
        </is>
      </c>
      <c r="E70" s="20" t="inlineStr">
        <is>
          <t>TB-054</t>
        </is>
      </c>
      <c r="F70" s="20" t="str"/>
      <c r="G70" s="20">
        <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f>
        <v/>
      </c>
      <c r="H70" s="45" t="n">
        <v>6</v>
      </c>
      <c r="I70" s="23" t="str"/>
      <c r="J70" s="46" t="n"/>
      <c r="K70" s="20" t="inlineStr">
        <is>
          <t>Ask a reviewer to reproduce an allowed subset and document environment gaps.</t>
        </is>
      </c>
      <c r="L70" s="20" t="inlineStr">
        <is>
          <t>Release artifact</t>
        </is>
      </c>
      <c r="M70" s="20" t="inlineStr">
        <is>
          <t>Public quickstart</t>
        </is>
      </c>
      <c r="N70" s="20" t="inlineStr">
        <is>
          <t>Reviewer report includes commands, versions and discrepancies.</t>
        </is>
      </c>
      <c r="O70" s="20" t="inlineStr">
        <is>
          <t>extensions/reviewer-report.md</t>
        </is>
      </c>
      <c r="P70" s="20" t="inlineStr">
        <is>
          <t>Reviewer time is a dependency, not guaranteed.</t>
        </is>
      </c>
      <c r="Q70" s="20" t="inlineStr">
        <is>
          <t>Extension</t>
        </is>
      </c>
      <c r="R70" s="20" t="str"/>
      <c r="S70" s="23" t="str"/>
      <c r="T70" s="23" t="str"/>
      <c r="U70" s="19">
        <f>IF(LEN(S70)&gt;0,1,0)</f>
        <v/>
      </c>
    </row>
    <row r="71" ht="64" customHeight="1">
      <c r="A71" s="19" t="inlineStr">
        <is>
          <t>TB-060</t>
        </is>
      </c>
      <c r="B71" s="19" t="inlineStr">
        <is>
          <t>10 Extensions</t>
        </is>
      </c>
      <c r="C71" s="19" t="inlineStr">
        <is>
          <t>Prepare submission candidate</t>
        </is>
      </c>
      <c r="D71" s="23" t="inlineStr">
        <is>
          <t>Not Started</t>
        </is>
      </c>
      <c r="E71" s="19" t="inlineStr">
        <is>
          <t>TB-055</t>
        </is>
      </c>
      <c r="F71" s="19" t="inlineStr">
        <is>
          <t>TB-059</t>
        </is>
      </c>
      <c r="G71" s="19">
        <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f>
        <v/>
      </c>
      <c r="H71" s="45" t="n">
        <v>8</v>
      </c>
      <c r="I71" s="23" t="str"/>
      <c r="J71" s="46" t="n"/>
      <c r="K71" s="19" t="inlineStr">
        <is>
          <t>Update literature, limitations and artifact checklist for a suitable venue after evidence review.</t>
        </is>
      </c>
      <c r="L71" s="19" t="inlineStr">
        <is>
          <t>Report tooling</t>
        </is>
      </c>
      <c r="M71" s="19" t="inlineStr">
        <is>
          <t>Validated extension findings</t>
        </is>
      </c>
      <c r="N71" s="19" t="inlineStr">
        <is>
          <t>Claims remain consistent with experiments and related work.</t>
        </is>
      </c>
      <c r="O71" s="19" t="inlineStr">
        <is>
          <t>extensions/submission/</t>
        </is>
      </c>
      <c r="P71" s="19" t="inlineStr">
        <is>
          <t>Submission is optional; acceptance and novelty are not promised.</t>
        </is>
      </c>
      <c r="Q71" s="19" t="inlineStr">
        <is>
          <t>Extension</t>
        </is>
      </c>
      <c r="R71" s="19" t="str"/>
      <c r="S71" s="23" t="str"/>
      <c r="T71" s="23" t="str"/>
      <c r="U71" s="19">
        <f>IF(LEN(S71)&gt;0,1,0)</f>
        <v/>
      </c>
    </row>
    <row r="72" ht="21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21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21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21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26" customHeight="1">
      <c r="A76" s="28" t="inlineStr">
        <is>
          <t>Phase dashboard</t>
        </is>
      </c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21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32" customHeight="1">
      <c r="A78" s="9" t="inlineStr">
        <is>
          <t>Phase</t>
        </is>
      </c>
      <c r="B78" s="9" t="inlineStr">
        <is>
          <t>Tasks</t>
        </is>
      </c>
      <c r="C78" s="9" t="inlineStr">
        <is>
          <t>Completed</t>
        </is>
      </c>
      <c r="D78" s="9" t="inlineStr">
        <is>
          <t>Not Started</t>
        </is>
      </c>
      <c r="E78" s="9" t="inlineStr">
        <is>
          <t>In Progress</t>
        </is>
      </c>
      <c r="F78" s="9" t="inlineStr">
        <is>
          <t>Blocked</t>
        </is>
      </c>
      <c r="G78" s="9" t="inlineStr">
        <is>
          <t>Complete %</t>
        </is>
      </c>
      <c r="H78" s="9" t="inlineStr">
        <is>
          <t>Planned h</t>
        </is>
      </c>
      <c r="I78" s="9" t="inlineStr">
        <is>
          <t>Remaining h</t>
        </is>
      </c>
      <c r="J78" s="9" t="inlineStr">
        <is>
          <t>Ready</t>
        </is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38" customHeight="1">
      <c r="A79" s="20" t="inlineStr">
        <is>
          <t>01 Scope &amp; setup</t>
        </is>
      </c>
      <c r="B79" s="20">
        <f>COUNTIFS($B$12:$B$71,A79)</f>
        <v/>
      </c>
      <c r="C79" s="20">
        <f>COUNTIFS($B$12:$B$71,A79,$D$12:$D$71,"Completed")</f>
        <v/>
      </c>
      <c r="D79" s="20">
        <f>COUNTIFS($B$12:$B$71,A79,$D$12:$D$71,"Not Started")</f>
        <v/>
      </c>
      <c r="E79" s="20">
        <f>COUNTIFS($B$12:$B$71,A79,$D$12:$D$71,"In Progress")</f>
        <v/>
      </c>
      <c r="F79" s="20">
        <f>COUNTIFS($B$12:$B$71,A79,$D$12:$D$71,"Blocked")</f>
        <v/>
      </c>
      <c r="G79" s="47">
        <f>IF(B79=0,0,C79/B79)</f>
        <v/>
      </c>
      <c r="H79" s="20">
        <f>SUMIFS($H$12:$H$71,$B$12:$B$71,A79)</f>
        <v/>
      </c>
      <c r="I79" s="20">
        <f>SUMIFS($H$12:$H$71,$B$12:$B$71,A79,$D$12:$D$71,"&lt;&gt;Completed")</f>
        <v/>
      </c>
      <c r="J79" s="20">
        <f>COUNTIFS($B$12:$B$71,A79,$G$12:$G$71,"Ready")</f>
        <v/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38" customHeight="1">
      <c r="A80" s="19" t="inlineStr">
        <is>
          <t>02 Data &amp; fixtures</t>
        </is>
      </c>
      <c r="B80" s="19">
        <f>COUNTIFS($B$12:$B$71,A80)</f>
        <v/>
      </c>
      <c r="C80" s="19">
        <f>COUNTIFS($B$12:$B$71,A80,$D$12:$D$71,"Completed")</f>
        <v/>
      </c>
      <c r="D80" s="19">
        <f>COUNTIFS($B$12:$B$71,A80,$D$12:$D$71,"Not Started")</f>
        <v/>
      </c>
      <c r="E80" s="19">
        <f>COUNTIFS($B$12:$B$71,A80,$D$12:$D$71,"In Progress")</f>
        <v/>
      </c>
      <c r="F80" s="19">
        <f>COUNTIFS($B$12:$B$71,A80,$D$12:$D$71,"Blocked")</f>
        <v/>
      </c>
      <c r="G80" s="48">
        <f>IF(B80=0,0,C80/B80)</f>
        <v/>
      </c>
      <c r="H80" s="19">
        <f>SUMIFS($H$12:$H$71,$B$12:$B$71,A80)</f>
        <v/>
      </c>
      <c r="I80" s="19">
        <f>SUMIFS($H$12:$H$71,$B$12:$B$71,A80,$D$12:$D$71,"&lt;&gt;Completed")</f>
        <v/>
      </c>
      <c r="J80" s="19">
        <f>COUNTIFS($B$12:$B$71,A80,$G$12:$G$71,"Ready")</f>
        <v/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38" customHeight="1">
      <c r="A81" s="20" t="inlineStr">
        <is>
          <t>03 Agent baseline</t>
        </is>
      </c>
      <c r="B81" s="20">
        <f>COUNTIFS($B$12:$B$71,A81)</f>
        <v/>
      </c>
      <c r="C81" s="20">
        <f>COUNTIFS($B$12:$B$71,A81,$D$12:$D$71,"Completed")</f>
        <v/>
      </c>
      <c r="D81" s="20">
        <f>COUNTIFS($B$12:$B$71,A81,$D$12:$D$71,"Not Started")</f>
        <v/>
      </c>
      <c r="E81" s="20">
        <f>COUNTIFS($B$12:$B$71,A81,$D$12:$D$71,"In Progress")</f>
        <v/>
      </c>
      <c r="F81" s="20">
        <f>COUNTIFS($B$12:$B$71,A81,$D$12:$D$71,"Blocked")</f>
        <v/>
      </c>
      <c r="G81" s="47">
        <f>IF(B81=0,0,C81/B81)</f>
        <v/>
      </c>
      <c r="H81" s="20">
        <f>SUMIFS($H$12:$H$71,$B$12:$B$71,A81)</f>
        <v/>
      </c>
      <c r="I81" s="20">
        <f>SUMIFS($H$12:$H$71,$B$12:$B$71,A81,$D$12:$D$71,"&lt;&gt;Completed")</f>
        <v/>
      </c>
      <c r="J81" s="20">
        <f>COUNTIFS($B$12:$B$71,A81,$G$12:$G$71,"Ready")</f>
        <v/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38" customHeight="1">
      <c r="A82" s="19" t="inlineStr">
        <is>
          <t>04 Policy gateway</t>
        </is>
      </c>
      <c r="B82" s="19">
        <f>COUNTIFS($B$12:$B$71,A82)</f>
        <v/>
      </c>
      <c r="C82" s="19">
        <f>COUNTIFS($B$12:$B$71,A82,$D$12:$D$71,"Completed")</f>
        <v/>
      </c>
      <c r="D82" s="19">
        <f>COUNTIFS($B$12:$B$71,A82,$D$12:$D$71,"Not Started")</f>
        <v/>
      </c>
      <c r="E82" s="19">
        <f>COUNTIFS($B$12:$B$71,A82,$D$12:$D$71,"In Progress")</f>
        <v/>
      </c>
      <c r="F82" s="19">
        <f>COUNTIFS($B$12:$B$71,A82,$D$12:$D$71,"Blocked")</f>
        <v/>
      </c>
      <c r="G82" s="48">
        <f>IF(B82=0,0,C82/B82)</f>
        <v/>
      </c>
      <c r="H82" s="19">
        <f>SUMIFS($H$12:$H$71,$B$12:$B$71,A82)</f>
        <v/>
      </c>
      <c r="I82" s="19">
        <f>SUMIFS($H$12:$H$71,$B$12:$B$71,A82,$D$12:$D$71,"&lt;&gt;Completed")</f>
        <v/>
      </c>
      <c r="J82" s="19">
        <f>COUNTIFS($B$12:$B$71,A82,$G$12:$G$71,"Ready")</f>
        <v/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38" customHeight="1">
      <c r="A83" s="20" t="inlineStr">
        <is>
          <t>05 Reliability &amp; traces</t>
        </is>
      </c>
      <c r="B83" s="20">
        <f>COUNTIFS($B$12:$B$71,A83)</f>
        <v/>
      </c>
      <c r="C83" s="20">
        <f>COUNTIFS($B$12:$B$71,A83,$D$12:$D$71,"Completed")</f>
        <v/>
      </c>
      <c r="D83" s="20">
        <f>COUNTIFS($B$12:$B$71,A83,$D$12:$D$71,"Not Started")</f>
        <v/>
      </c>
      <c r="E83" s="20">
        <f>COUNTIFS($B$12:$B$71,A83,$D$12:$D$71,"In Progress")</f>
        <v/>
      </c>
      <c r="F83" s="20">
        <f>COUNTIFS($B$12:$B$71,A83,$D$12:$D$71,"Blocked")</f>
        <v/>
      </c>
      <c r="G83" s="47">
        <f>IF(B83=0,0,C83/B83)</f>
        <v/>
      </c>
      <c r="H83" s="20">
        <f>SUMIFS($H$12:$H$71,$B$12:$B$71,A83)</f>
        <v/>
      </c>
      <c r="I83" s="20">
        <f>SUMIFS($H$12:$H$71,$B$12:$B$71,A83,$D$12:$D$71,"&lt;&gt;Completed")</f>
        <v/>
      </c>
      <c r="J83" s="20">
        <f>COUNTIFS($B$12:$B$71,A83,$G$12:$G$71,"Ready")</f>
        <v/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38" customHeight="1">
      <c r="A84" s="19" t="inlineStr">
        <is>
          <t>06 Evaluation</t>
        </is>
      </c>
      <c r="B84" s="19">
        <f>COUNTIFS($B$12:$B$71,A84)</f>
        <v/>
      </c>
      <c r="C84" s="19">
        <f>COUNTIFS($B$12:$B$71,A84,$D$12:$D$71,"Completed")</f>
        <v/>
      </c>
      <c r="D84" s="19">
        <f>COUNTIFS($B$12:$B$71,A84,$D$12:$D$71,"Not Started")</f>
        <v/>
      </c>
      <c r="E84" s="19">
        <f>COUNTIFS($B$12:$B$71,A84,$D$12:$D$71,"In Progress")</f>
        <v/>
      </c>
      <c r="F84" s="19">
        <f>COUNTIFS($B$12:$B$71,A84,$D$12:$D$71,"Blocked")</f>
        <v/>
      </c>
      <c r="G84" s="48">
        <f>IF(B84=0,0,C84/B84)</f>
        <v/>
      </c>
      <c r="H84" s="19">
        <f>SUMIFS($H$12:$H$71,$B$12:$B$71,A84)</f>
        <v/>
      </c>
      <c r="I84" s="19">
        <f>SUMIFS($H$12:$H$71,$B$12:$B$71,A84,$D$12:$D$71,"&lt;&gt;Completed")</f>
        <v/>
      </c>
      <c r="J84" s="19">
        <f>COUNTIFS($B$12:$B$71,A84,$G$12:$G$71,"Ready")</f>
        <v/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38" customHeight="1">
      <c r="A85" s="20" t="inlineStr">
        <is>
          <t>07 Delivery &amp; operations</t>
        </is>
      </c>
      <c r="B85" s="20">
        <f>COUNTIFS($B$12:$B$71,A85)</f>
        <v/>
      </c>
      <c r="C85" s="20">
        <f>COUNTIFS($B$12:$B$71,A85,$D$12:$D$71,"Completed")</f>
        <v/>
      </c>
      <c r="D85" s="20">
        <f>COUNTIFS($B$12:$B$71,A85,$D$12:$D$71,"Not Started")</f>
        <v/>
      </c>
      <c r="E85" s="20">
        <f>COUNTIFS($B$12:$B$71,A85,$D$12:$D$71,"In Progress")</f>
        <v/>
      </c>
      <c r="F85" s="20">
        <f>COUNTIFS($B$12:$B$71,A85,$D$12:$D$71,"Blocked")</f>
        <v/>
      </c>
      <c r="G85" s="47">
        <f>IF(B85=0,0,C85/B85)</f>
        <v/>
      </c>
      <c r="H85" s="20">
        <f>SUMIFS($H$12:$H$71,$B$12:$B$71,A85)</f>
        <v/>
      </c>
      <c r="I85" s="20">
        <f>SUMIFS($H$12:$H$71,$B$12:$B$71,A85,$D$12:$D$71,"&lt;&gt;Completed")</f>
        <v/>
      </c>
      <c r="J85" s="20">
        <f>COUNTIFS($B$12:$B$71,A85,$G$12:$G$71,"Ready")</f>
        <v/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38" customHeight="1">
      <c r="A86" s="19" t="inlineStr">
        <is>
          <t>08 Research evidence</t>
        </is>
      </c>
      <c r="B86" s="19">
        <f>COUNTIFS($B$12:$B$71,A86)</f>
        <v/>
      </c>
      <c r="C86" s="19">
        <f>COUNTIFS($B$12:$B$71,A86,$D$12:$D$71,"Completed")</f>
        <v/>
      </c>
      <c r="D86" s="19">
        <f>COUNTIFS($B$12:$B$71,A86,$D$12:$D$71,"Not Started")</f>
        <v/>
      </c>
      <c r="E86" s="19">
        <f>COUNTIFS($B$12:$B$71,A86,$D$12:$D$71,"In Progress")</f>
        <v/>
      </c>
      <c r="F86" s="19">
        <f>COUNTIFS($B$12:$B$71,A86,$D$12:$D$71,"Blocked")</f>
        <v/>
      </c>
      <c r="G86" s="48">
        <f>IF(B86=0,0,C86/B86)</f>
        <v/>
      </c>
      <c r="H86" s="19">
        <f>SUMIFS($H$12:$H$71,$B$12:$B$71,A86)</f>
        <v/>
      </c>
      <c r="I86" s="19">
        <f>SUMIFS($H$12:$H$71,$B$12:$B$71,A86,$D$12:$D$71,"&lt;&gt;Completed")</f>
        <v/>
      </c>
      <c r="J86" s="19">
        <f>COUNTIFS($B$12:$B$71,A86,$G$12:$G$71,"Ready")</f>
        <v/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38" customHeight="1">
      <c r="A87" s="20" t="inlineStr">
        <is>
          <t>09 Portfolio release</t>
        </is>
      </c>
      <c r="B87" s="20">
        <f>COUNTIFS($B$12:$B$71,A87)</f>
        <v/>
      </c>
      <c r="C87" s="20">
        <f>COUNTIFS($B$12:$B$71,A87,$D$12:$D$71,"Completed")</f>
        <v/>
      </c>
      <c r="D87" s="20">
        <f>COUNTIFS($B$12:$B$71,A87,$D$12:$D$71,"Not Started")</f>
        <v/>
      </c>
      <c r="E87" s="20">
        <f>COUNTIFS($B$12:$B$71,A87,$D$12:$D$71,"In Progress")</f>
        <v/>
      </c>
      <c r="F87" s="20">
        <f>COUNTIFS($B$12:$B$71,A87,$D$12:$D$71,"Blocked")</f>
        <v/>
      </c>
      <c r="G87" s="47">
        <f>IF(B87=0,0,C87/B87)</f>
        <v/>
      </c>
      <c r="H87" s="20">
        <f>SUMIFS($H$12:$H$71,$B$12:$B$71,A87)</f>
        <v/>
      </c>
      <c r="I87" s="20">
        <f>SUMIFS($H$12:$H$71,$B$12:$B$71,A87,$D$12:$D$71,"&lt;&gt;Completed")</f>
        <v/>
      </c>
      <c r="J87" s="20">
        <f>COUNTIFS($B$12:$B$71,A87,$G$12:$G$71,"Ready")</f>
        <v/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38" customHeight="1">
      <c r="A88" s="19" t="inlineStr">
        <is>
          <t>10 Extensions</t>
        </is>
      </c>
      <c r="B88" s="19">
        <f>COUNTIFS($B$12:$B$71,A88)</f>
        <v/>
      </c>
      <c r="C88" s="19">
        <f>COUNTIFS($B$12:$B$71,A88,$D$12:$D$71,"Completed")</f>
        <v/>
      </c>
      <c r="D88" s="19">
        <f>COUNTIFS($B$12:$B$71,A88,$D$12:$D$71,"Not Started")</f>
        <v/>
      </c>
      <c r="E88" s="19">
        <f>COUNTIFS($B$12:$B$71,A88,$D$12:$D$71,"In Progress")</f>
        <v/>
      </c>
      <c r="F88" s="19">
        <f>COUNTIFS($B$12:$B$71,A88,$D$12:$D$71,"Blocked")</f>
        <v/>
      </c>
      <c r="G88" s="48">
        <f>IF(B88=0,0,C88/B88)</f>
        <v/>
      </c>
      <c r="H88" s="19">
        <f>SUMIFS($H$12:$H$71,$B$12:$B$71,A88)</f>
        <v/>
      </c>
      <c r="I88" s="19">
        <f>SUMIFS($H$12:$H$71,$B$12:$B$71,A88,$D$12:$D$71,"&lt;&gt;Completed")</f>
        <v/>
      </c>
      <c r="J88" s="19">
        <f>COUNTIFS($B$12:$B$71,A88,$G$12:$G$71,"Ready")</f>
        <v/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21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21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26" customHeight="1">
      <c r="A91" s="28" t="inlineStr">
        <is>
          <t>How to use and scope</t>
        </is>
      </c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21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65" customHeight="1">
      <c r="A93" s="2" t="n"/>
      <c r="B93" s="33" t="inlineStr">
        <is>
          <t>Purpose</t>
        </is>
      </c>
      <c r="C93" s="19" t="inlineStr">
        <is>
          <t>Measure and improve agent task success, security and repeatability with an independently enforced tool boundary.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65" customHeight="1">
      <c r="A94" s="2" t="n"/>
      <c r="B94" s="33" t="inlineStr">
        <is>
          <t>Architecture</t>
        </is>
      </c>
      <c r="C94" s="19" t="inlineStr">
        <is>
          <t>Test cases → agent adapter → policy gateway → sandbox tools → trace store → evaluators → regression gate.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25" customHeight="1">
      <c r="A95" s="2" t="n"/>
      <c r="B95" s="33" t="inlineStr">
        <is>
          <t>Build order</t>
        </is>
      </c>
      <c r="C95" s="19" t="inlineStr">
        <is>
          <t>Work through phases 01–09 for Core. Phase 10 is optional. Dependencies refer to task IDs in this sheet; independent projects need no other project to be finished. Suggested portfolio order: TrustBench, VeriSQL, ColGraph, EdgeSentinel.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10" customHeight="1">
      <c r="A96" s="2" t="n"/>
      <c r="B96" s="33" t="inlineStr">
        <is>
          <t>Status and evidence</t>
        </is>
      </c>
      <c r="C96" s="19" t="inlineStr">
        <is>
          <t>Use the status dropdown. Completed is a manual claim that every acceptance criterion passed. Paste the real report, commit or run URL in Actual evidence link. Expected evidence is a planned path, not a completed artifact.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10" customHeight="1">
      <c r="A97" s="2" t="n"/>
      <c r="B97" s="33" t="inlineStr">
        <is>
          <t>Readiness</t>
        </is>
      </c>
      <c r="C97" s="19" t="inlineStr">
        <is>
          <t>Ready means both listed dependencies are marked Completed with evidence. Waiting means a prerequisite remains open. Bad dependency means an unknown/duplicate ID. Check prerequisites flags a task completed too early.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95" customHeight="1">
      <c r="A98" s="2" t="n"/>
      <c r="B98" s="33" t="inlineStr">
        <is>
          <t>Blocked work</t>
        </is>
      </c>
      <c r="C98" s="19" t="inlineStr">
        <is>
          <t>Set Status to Blocked and record the reason plus next action in the final column. Readiness can still show Waiting if a dependency is unfinished. Unblock before continuing.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10" customHeight="1">
      <c r="A99" s="2" t="n"/>
      <c r="B99" s="33" t="inlineStr">
        <is>
          <t>Progress definition</t>
        </is>
      </c>
      <c r="C99" s="19" t="inlineStr">
        <is>
          <t>Completion uses Completed task count, not subjective partial credit. Remaining hours subtract only completed tasks. Evidence gaps count completed tasks with an empty evidence field. Verify evidence quality manually.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25" customHeight="1">
      <c r="A100" s="2" t="n"/>
      <c r="B100" s="33" t="inlineStr">
        <is>
          <t>Effort and dates</t>
        </is>
      </c>
      <c r="C100" s="19" t="inlineStr">
        <is>
          <t>Hours are rough active-work estimates, excluding unattended training, access waits and review delays. Edit estimates and hours/week. Core weeks left is remaining Core hours divided by capacity, not a promised calendar schedule. Enter your own due dates.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10" customHeight="1">
      <c r="A101" s="2" t="n"/>
      <c r="B101" s="33" t="inlineStr">
        <is>
          <t>Blank inputs</t>
        </is>
      </c>
      <c r="C101" s="19" t="inlineStr">
        <is>
          <t>Owners, deadlines, actual evidence, blockers and benchmark measurements are intentionally blank. All project tasks begin Not Started. Research plans, targets and effort estimates are proposals, never measured achievements.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25" customHeight="1">
      <c r="A102" s="2" t="n"/>
      <c r="B102" s="33" t="inlineStr">
        <is>
          <t>Metric entries</t>
        </is>
      </c>
      <c r="C102" s="19" t="inlineStr">
        <is>
          <t>Record baseline/candidate values only for matching units, splits and protocols. Delta is candidate minus baseline. Rates use one consistent decimal or percentage-point unit. Use the run link for intervals, counts and multi-value metrics.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10" customHeight="1">
      <c r="A103" s="2" t="n"/>
      <c r="B103" s="33" t="inlineStr">
        <is>
          <t>Acceptance versus improvement</t>
        </is>
      </c>
      <c r="C103" s="19" t="inlineStr">
        <is>
          <t>A research task can finish with a null/negative result if protocol, analysis and evidence are complete. Production promotion must satisfy its own frozen gates. Do not invent improvements to mark a study complete.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10" customHeight="1">
      <c r="A104" s="2" t="n"/>
      <c r="B104" s="33" t="inlineStr">
        <is>
          <t>Workbook maintenance</t>
        </is>
      </c>
      <c r="C104" s="19" t="inlineStr">
        <is>
          <t>This inventory has fixed bounded formulas. To add tasks, insert inside the inventory, update dashboard/readiness/phase ranges and validation as needed, and recheck counts. Do not insert a task into the source or metric tables.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95" customHeight="1">
      <c r="A105" s="2" t="n"/>
      <c r="B105" s="33" t="inlineStr">
        <is>
          <t>Master and standalone copies</t>
        </is>
      </c>
      <c r="C105" s="19" t="inlineStr">
        <is>
          <t>Use the four-sheet master as the source of truth or choose a standalone copy. The workbooks do not synchronize. Avoid recording progress in multiple copies.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10" customHeight="1">
      <c r="A106" s="2" t="n"/>
      <c r="B106" s="33" t="inlineStr">
        <is>
          <t>Source freshness</t>
        </is>
      </c>
      <c r="C106" s="19" t="inlineStr">
        <is>
          <t>Planning references checked on 14-Oct-2026. Main/latest docs can change. Pin versions during implementation and record access failures. A linked source supports tool/data choices, not novel performance claims.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10" customHeight="1">
      <c r="A107" s="2" t="n"/>
      <c r="B107" s="33" t="inlineStr">
        <is>
          <t>Research release</t>
        </is>
      </c>
      <c r="C107" s="19" t="inlineStr">
        <is>
          <t>Deliver a literature matrix, preregistered protocol, raw run manifests, baselines, uncertainty, ablations, failure analysis and report. Publication acceptance, patentability and top-1-percent hiring outcomes are not promised.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21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21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26" customHeight="1">
      <c r="A110" s="28" t="inlineStr">
        <is>
          <t>Resources and hardware</t>
        </is>
      </c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21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95" customHeight="1">
      <c r="A112" s="2" t="n"/>
      <c r="B112" s="33" t="inlineStr">
        <is>
          <t>Compute route</t>
        </is>
      </c>
      <c r="C112" s="19" t="inlineStr">
        <is>
          <t>CPU laptop and hosted model API are a viable starting route. Set an API budget before runs. A local GPU is optional and must be profiled for the chosen model; no fixed VRAM guarantee.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95" customHeight="1">
      <c r="A113" s="2" t="n"/>
      <c r="B113" s="33" t="inlineStr">
        <is>
          <t>Development kit</t>
        </is>
      </c>
      <c r="C113" s="19" t="inlineStr">
        <is>
          <t>Git repository, Python environment, dependency lock, test runner, container runtime where supported, issue tracker and artifact directory. Pin exact versions after compatibility checks.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95" customHeight="1">
      <c r="A114" s="2" t="n"/>
      <c r="B114" s="33" t="inlineStr">
        <is>
          <t>Access and accounts</t>
        </is>
      </c>
      <c r="C114" s="19" t="inlineStr">
        <is>
          <t>Core can begin locally. Create provider/model-host accounts only if the chosen route needs them. Verify model/dataset access, licenses, rate limits and current pricing before paid jobs.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80" customHeight="1">
      <c r="A115" s="2" t="n"/>
      <c r="B115" s="33" t="inlineStr">
        <is>
          <t>Data and experiment storage</t>
        </is>
      </c>
      <c r="C115" s="19" t="inlineStr">
        <is>
          <t>Keep raw inputs immutable. Version derived datasets, split manifests, configs, seeds, logs and result tables. Use content hashes and retain failed runs.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95" customHeight="1">
      <c r="A116" s="2" t="n"/>
      <c r="B116" s="33" t="inlineStr">
        <is>
          <t>Budget control</t>
        </is>
      </c>
      <c r="C116" s="19" t="inlineStr">
        <is>
          <t>Record actual rate, currency, token/GPU-hour budget and hard stop during the pilot. No dollar/rupee price is assumed in this workbook. Estimate cost from your measured workload.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95" customHeight="1">
      <c r="A117" s="2" t="n"/>
      <c r="B117" s="33" t="inlineStr">
        <is>
          <t>Optional complexity</t>
        </is>
      </c>
      <c r="C117" s="19" t="inlineStr">
        <is>
          <t>Add graph databases, distributed queues, Kubernetes, multiple GPUs or new modalities only after a measured limitation justifies them. They are not prerequisites for the local core.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21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21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26" customHeight="1">
      <c r="A120" s="28" t="inlineStr">
        <is>
          <t>Dataset register</t>
        </is>
      </c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21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32" customHeight="1">
      <c r="A122" s="9" t="inlineStr">
        <is>
          <t>Data ID</t>
        </is>
      </c>
      <c r="B122" s="9" t="inlineStr">
        <is>
          <t>Dataset</t>
        </is>
      </c>
      <c r="C122" s="9" t="inlineStr">
        <is>
          <t>Purpose</t>
        </is>
      </c>
      <c r="D122" s="9" t="inlineStr">
        <is>
          <t>Source IDs</t>
        </is>
      </c>
      <c r="E122" s="9" t="inlineStr">
        <is>
          <t>Acquisition</t>
        </is>
      </c>
      <c r="F122" s="9" t="inlineStr">
        <is>
          <t>Split / license / handling</t>
        </is>
      </c>
      <c r="G122" s="9" t="inlineStr">
        <is>
          <t>Limitations</t>
        </is>
      </c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90" customHeight="1">
      <c r="A123" s="20" t="inlineStr">
        <is>
          <t>TB-D1</t>
        </is>
      </c>
      <c r="B123" s="20" t="inlineStr">
        <is>
          <t>AgentDojo selected suites</t>
        </is>
      </c>
      <c r="C123" s="20" t="inlineStr">
        <is>
          <t>External evaluation</t>
        </is>
      </c>
      <c r="D123" s="20" t="inlineStr">
        <is>
          <t>TB-S1</t>
        </is>
      </c>
      <c r="E123" s="20" t="inlineStr">
        <is>
          <t>Official repository at a pinned commit</t>
        </is>
      </c>
      <c r="F123" s="20" t="inlineStr">
        <is>
          <t>Record license and exact suite/task IDs. Tune on separate families.</t>
        </is>
      </c>
      <c r="G123" s="20" t="inlineStr">
        <is>
          <t>Benchmark may require provider credentials; label all subset results.</t>
        </is>
      </c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90" customHeight="1">
      <c r="A124" s="19" t="inlineStr">
        <is>
          <t>TB-D2</t>
        </is>
      </c>
      <c r="B124" s="19" t="inlineStr">
        <is>
          <t>Synthetic workflow fixtures</t>
        </is>
      </c>
      <c r="C124" s="19" t="inlineStr">
        <is>
          <t>Development and policy invariants</t>
        </is>
      </c>
      <c r="D124" s="19" t="inlineStr">
        <is>
          <t>TB-S1</t>
        </is>
      </c>
      <c r="E124" s="19" t="inlineStr">
        <is>
          <t>Locally generated documents, users, tools and expected state</t>
        </is>
      </c>
      <c r="F124" s="19" t="inlineStr">
        <is>
          <t>No personal data. Version task templates and seed.</t>
        </is>
      </c>
      <c r="G124" s="19" t="inlineStr">
        <is>
          <t>Ground truth comes from state checks, not a judge model.</t>
        </is>
      </c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90" customHeight="1">
      <c r="A125" s="20" t="inlineStr">
        <is>
          <t>TB-D3</t>
        </is>
      </c>
      <c r="B125" s="20" t="inlineStr">
        <is>
          <t>Local attack and failure fixtures</t>
        </is>
      </c>
      <c r="C125" s="20" t="inlineStr">
        <is>
          <t>Robustness holdout</t>
        </is>
      </c>
      <c r="D125" s="20" t="inlineStr">
        <is>
          <t>TB-S2</t>
        </is>
      </c>
      <c r="E125" s="20" t="inlineStr">
        <is>
          <t>Isolated injected documents, timeouts and malformed tool outputs</t>
        </is>
      </c>
      <c r="F125" s="20" t="inlineStr">
        <is>
          <t>Split by attack/template family before tuning.</t>
        </is>
      </c>
      <c r="G125" s="20" t="inlineStr">
        <is>
          <t>These measure only the defined threat model.</t>
        </is>
      </c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21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21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26" customHeight="1">
      <c r="A128" s="28" t="inlineStr">
        <is>
          <t>Evaluation register — measurements start blank</t>
        </is>
      </c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21" customHeight="1">
      <c r="A129" s="2" t="inlineStr">
        <is>
          <t>Record the unit and run link before comparing values. Delta = candidate − baseline; it is not automatically a pass/fail decision.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32" customHeight="1">
      <c r="A130" s="9" t="inlineStr">
        <is>
          <t>Metric ID</t>
        </is>
      </c>
      <c r="B130" s="9" t="inlineStr">
        <is>
          <t>Metric</t>
        </is>
      </c>
      <c r="C130" s="9" t="inlineStr">
        <is>
          <t>Definition / denominator</t>
        </is>
      </c>
      <c r="D130" s="9" t="inlineStr">
        <is>
          <t>Better direction</t>
        </is>
      </c>
      <c r="E130" s="9" t="inlineStr">
        <is>
          <t>Baseline value</t>
        </is>
      </c>
      <c r="F130" s="9" t="inlineStr">
        <is>
          <t>Candidate value</t>
        </is>
      </c>
      <c r="G130" s="9" t="inlineStr">
        <is>
          <t>Delta (formula)</t>
        </is>
      </c>
      <c r="H130" s="9" t="inlineStr">
        <is>
          <t>Unit</t>
        </is>
      </c>
      <c r="I130" s="9" t="inlineStr">
        <is>
          <t>Target (optional)</t>
        </is>
      </c>
      <c r="J130" s="9" t="inlineStr">
        <is>
          <t>Run / evidence link</t>
        </is>
      </c>
      <c r="K130" s="9" t="inlineStr">
        <is>
          <t>Protocol and acceptance guidance</t>
        </is>
      </c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05" customHeight="1">
      <c r="A131" s="20" t="inlineStr">
        <is>
          <t>TB-M1</t>
        </is>
      </c>
      <c r="B131" s="20" t="inlineStr">
        <is>
          <t>Benign task completion</t>
        </is>
      </c>
      <c r="C131" s="20" t="inlineStr">
        <is>
          <t>Successful benign tasks / all eligible benign tasks</t>
        </is>
      </c>
      <c r="D131" s="20" t="inlineStr">
        <is>
          <t>Higher</t>
        </is>
      </c>
      <c r="E131" s="49" t="n"/>
      <c r="F131" s="49" t="n"/>
      <c r="G131" s="50">
        <f>IF(AND(ISNUMBER(E131),ISNUMBER(F131)),F131-E131,"")</f>
        <v/>
      </c>
      <c r="H131" s="23" t="str"/>
      <c r="I131" s="23" t="n"/>
      <c r="J131" s="23" t="str"/>
      <c r="K131" s="20" t="inlineStr">
        <is>
          <t>State-based checker on paired held-out tasks. Set acceptable utility loss on tuning data before holdout.</t>
        </is>
      </c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05" customHeight="1">
      <c r="A132" s="19" t="inlineStr">
        <is>
          <t>TB-M2</t>
        </is>
      </c>
      <c r="B132" s="19" t="inlineStr">
        <is>
          <t>Attack success rate</t>
        </is>
      </c>
      <c r="C132" s="19" t="inlineStr">
        <is>
          <t>Attacker goals achieved / all eligible attack trials</t>
        </is>
      </c>
      <c r="D132" s="19" t="inlineStr">
        <is>
          <t>Lower</t>
        </is>
      </c>
      <c r="E132" s="49" t="n"/>
      <c r="F132" s="49" t="n"/>
      <c r="G132" s="51">
        <f>IF(AND(ISNUMBER(E132),ISNUMBER(F132)),F132-E132,"")</f>
        <v/>
      </c>
      <c r="H132" s="23" t="str"/>
      <c r="I132" s="23" t="n"/>
      <c r="J132" s="23" t="str"/>
      <c r="K132" s="19" t="inlineStr">
        <is>
          <t>Report per-family and overall with task-clustered intervals. Do not infer zero risk from zero observed attacks.</t>
        </is>
      </c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05" customHeight="1">
      <c r="A133" s="20" t="inlineStr">
        <is>
          <t>TB-M3</t>
        </is>
      </c>
      <c r="B133" s="20" t="inlineStr">
        <is>
          <t>False-block rate</t>
        </is>
      </c>
      <c r="C133" s="20" t="inlineStr">
        <is>
          <t>Blocked permitted calls / all permitted attempted calls</t>
        </is>
      </c>
      <c r="D133" s="20" t="inlineStr">
        <is>
          <t>Lower</t>
        </is>
      </c>
      <c r="E133" s="49" t="n"/>
      <c r="F133" s="49" t="n"/>
      <c r="G133" s="50">
        <f>IF(AND(ISNUMBER(E133),ISNUMBER(F133)),F133-E133,"")</f>
        <v/>
      </c>
      <c r="H133" s="23" t="str"/>
      <c r="I133" s="23" t="n"/>
      <c r="J133" s="23" t="str"/>
      <c r="K133" s="20" t="inlineStr">
        <is>
          <t>Use independently labeled permitted actions. Also report benign task completion to expose workflow impact.</t>
        </is>
      </c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05" customHeight="1">
      <c r="A134" s="19" t="inlineStr">
        <is>
          <t>TB-M4</t>
        </is>
      </c>
      <c r="B134" s="19" t="inlineStr">
        <is>
          <t>Repeated-run all-success</t>
        </is>
      </c>
      <c r="C134" s="19" t="inlineStr">
        <is>
          <t>Tasks successful in every repeat / tasks with full repeat schedule</t>
        </is>
      </c>
      <c r="D134" s="19" t="inlineStr">
        <is>
          <t>Higher</t>
        </is>
      </c>
      <c r="E134" s="49" t="n"/>
      <c r="F134" s="49" t="n"/>
      <c r="G134" s="51">
        <f>IF(AND(ISNUMBER(E134),ISNUMBER(F134)),F134-E134,"")</f>
        <v/>
      </c>
      <c r="H134" s="23" t="str"/>
      <c r="I134" s="23" t="n"/>
      <c r="J134" s="23" t="str"/>
      <c r="K134" s="19" t="inlineStr">
        <is>
          <t>Report repeat count, per-task frequency and missing-run count. Do not mix different repeat schedules.</t>
        </is>
      </c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05" customHeight="1">
      <c r="A135" s="20" t="inlineStr">
        <is>
          <t>TB-M5</t>
        </is>
      </c>
      <c r="B135" s="20" t="inlineStr">
        <is>
          <t>Attribution accuracy</t>
        </is>
      </c>
      <c r="C135" s="20" t="inlineStr">
        <is>
          <t>Correct first-failure labels / reviewed labeled traces</t>
        </is>
      </c>
      <c r="D135" s="20" t="inlineStr">
        <is>
          <t>Higher</t>
        </is>
      </c>
      <c r="E135" s="49" t="n"/>
      <c r="F135" s="49" t="n"/>
      <c r="G135" s="50">
        <f>IF(AND(ISNUMBER(E135),ISNUMBER(F135)),F135-E135,"")</f>
        <v/>
      </c>
      <c r="H135" s="23" t="str"/>
      <c r="I135" s="23" t="n"/>
      <c r="J135" s="23" t="str"/>
      <c r="K135" s="20" t="inlineStr">
        <is>
          <t>Human-adjudicated stratified trace sample. Judge output alone is insufficient ground truth.</t>
        </is>
      </c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05" customHeight="1">
      <c r="A136" s="19" t="inlineStr">
        <is>
          <t>TB-M6</t>
        </is>
      </c>
      <c r="B136" s="19" t="inlineStr">
        <is>
          <t>End-to-end p95 latency</t>
        </is>
      </c>
      <c r="C136" s="19" t="inlineStr">
        <is>
          <t>95th percentile of elapsed request-to-final-outcome seconds</t>
        </is>
      </c>
      <c r="D136" s="19" t="inlineStr">
        <is>
          <t>Lower</t>
        </is>
      </c>
      <c r="E136" s="49" t="n"/>
      <c r="F136" s="49" t="n"/>
      <c r="G136" s="51">
        <f>IF(AND(ISNUMBER(E136),ISNUMBER(F136)),F136-E136,"")</f>
        <v/>
      </c>
      <c r="H136" s="23" t="str"/>
      <c r="I136" s="23" t="n"/>
      <c r="J136" s="23" t="str"/>
      <c r="K136" s="19" t="inlineStr">
        <is>
          <t>Same workload, concurrency, model and retries. Report timeouts separately and include queueing.</t>
        </is>
      </c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05" customHeight="1">
      <c r="A137" s="20" t="inlineStr">
        <is>
          <t>TB-M7</t>
        </is>
      </c>
      <c r="B137" s="20" t="inlineStr">
        <is>
          <t>Cost per successful task</t>
        </is>
      </c>
      <c r="C137" s="20" t="inlineStr">
        <is>
          <t>Total billed currency across all attempts / successes</t>
        </is>
      </c>
      <c r="D137" s="20" t="inlineStr">
        <is>
          <t>Lower</t>
        </is>
      </c>
      <c r="E137" s="49" t="n"/>
      <c r="F137" s="49" t="n"/>
      <c r="G137" s="50">
        <f>IF(AND(ISNUMBER(E137),ISNUMBER(F137)),F137-E137,"")</f>
        <v/>
      </c>
      <c r="H137" s="23" t="str"/>
      <c r="I137" s="23" t="n"/>
      <c r="J137" s="23" t="str"/>
      <c r="K137" s="20" t="inlineStr">
        <is>
          <t>Provider price date plus raw token/cost ledger. If successes are zero, report undefined rather than zero.</t>
        </is>
      </c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21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21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21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26" customHeight="1">
      <c r="A141" s="28" t="inlineStr">
        <is>
          <t>Research experiment inventory</t>
        </is>
      </c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21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32" customHeight="1">
      <c r="A143" s="9" t="inlineStr">
        <is>
          <t>Experiment ID</t>
        </is>
      </c>
      <c r="B143" s="9" t="inlineStr">
        <is>
          <t>Research question</t>
        </is>
      </c>
      <c r="C143" s="9" t="inlineStr">
        <is>
          <t>Comparators</t>
        </is>
      </c>
      <c r="D143" s="9" t="inlineStr">
        <is>
          <t>Status</t>
        </is>
      </c>
      <c r="E143" s="9" t="inlineStr">
        <is>
          <t>Config / run IDs</t>
        </is>
      </c>
      <c r="F143" s="9" t="inlineStr">
        <is>
          <t>Result reference</t>
        </is>
      </c>
      <c r="G143" s="9" t="inlineStr">
        <is>
          <t>Decision / finding</t>
        </is>
      </c>
      <c r="H143" s="9" t="inlineStr">
        <is>
          <t>Compute used</t>
        </is>
      </c>
      <c r="I143" s="9" t="inlineStr">
        <is>
          <t>Reviewer</t>
        </is>
      </c>
      <c r="J143" s="9" t="inlineStr">
        <is>
          <t>Review date</t>
        </is>
      </c>
      <c r="K143" s="9" t="inlineStr">
        <is>
          <t>Controls and analysis</t>
        </is>
      </c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94" customHeight="1">
      <c r="A144" s="20" t="inlineStr">
        <is>
          <t>T-E1</t>
        </is>
      </c>
      <c r="B144" s="20" t="inlineStr">
        <is>
          <t>Does gateway enforcement reduce attack success without excessive utility loss?</t>
        </is>
      </c>
      <c r="C144" s="20" t="inlineStr">
        <is>
          <t>Baseline vs schema-only vs full gateway</t>
        </is>
      </c>
      <c r="D144" s="23" t="inlineStr">
        <is>
          <t>Not Started</t>
        </is>
      </c>
      <c r="E144" s="23" t="n"/>
      <c r="F144" s="23" t="n"/>
      <c r="G144" s="23" t="n"/>
      <c r="H144" s="23" t="n"/>
      <c r="I144" s="23" t="n"/>
      <c r="J144" s="46" t="n"/>
      <c r="K144" s="20" t="inlineStr">
        <is>
          <t>Paired tasks, same model/settings and repeat schedule. Analysis: Task-clustered intervals and failure slices</t>
        </is>
      </c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94" customHeight="1">
      <c r="A145" s="19" t="inlineStr">
        <is>
          <t>T-E2</t>
        </is>
      </c>
      <c r="B145" s="19" t="inlineStr">
        <is>
          <t>Which enforcement layer contributes?</t>
        </is>
      </c>
      <c r="C145" s="19" t="inlineStr">
        <is>
          <t>Remove provenance, capability checks or approval individually</t>
        </is>
      </c>
      <c r="D145" s="23" t="inlineStr">
        <is>
          <t>Not Started</t>
        </is>
      </c>
      <c r="E145" s="23" t="n"/>
      <c r="F145" s="23" t="n"/>
      <c r="G145" s="23" t="n"/>
      <c r="H145" s="23" t="n"/>
      <c r="I145" s="23" t="n"/>
      <c r="J145" s="46" t="n"/>
      <c r="K145" s="19" t="inlineStr">
        <is>
          <t>Same frozen holdout and resource budgets. Analysis: Ablation effects and utility/cost tradeoff</t>
        </is>
      </c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94" customHeight="1">
      <c r="A146" s="20" t="inlineStr">
        <is>
          <t>T-E3</t>
        </is>
      </c>
      <c r="B146" s="20" t="inlineStr">
        <is>
          <t>Does recovery improve reliability under faults?</t>
        </is>
      </c>
      <c r="C146" s="20" t="inlineStr">
        <is>
          <t>No retries vs bounded retries/checkpoints</t>
        </is>
      </c>
      <c r="D146" s="23" t="inlineStr">
        <is>
          <t>Not Started</t>
        </is>
      </c>
      <c r="E146" s="23" t="n"/>
      <c r="F146" s="23" t="n"/>
      <c r="G146" s="23" t="n"/>
      <c r="H146" s="23" t="n"/>
      <c r="I146" s="23" t="n"/>
      <c r="J146" s="46" t="n"/>
      <c r="K146" s="20" t="inlineStr">
        <is>
          <t>Identical injected fault schedule. Analysis: Success, duplicates, latency and billed cost</t>
        </is>
      </c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94" customHeight="1">
      <c r="A147" s="19" t="inlineStr">
        <is>
          <t>T-E4</t>
        </is>
      </c>
      <c r="B147" s="19" t="inlineStr">
        <is>
          <t>Do trace diagnoses identify real causes?</t>
        </is>
      </c>
      <c r="C147" s="19" t="inlineStr">
        <is>
          <t>Rule attribution vs reviewed labels; intervention as extension</t>
        </is>
      </c>
      <c r="D147" s="23" t="inlineStr">
        <is>
          <t>Not Started</t>
        </is>
      </c>
      <c r="E147" s="23" t="n"/>
      <c r="F147" s="23" t="n"/>
      <c r="G147" s="23" t="n"/>
      <c r="H147" s="23" t="n"/>
      <c r="I147" s="23" t="n"/>
      <c r="J147" s="46" t="n"/>
      <c r="K147" s="19" t="inlineStr">
        <is>
          <t>Same labeled sample and blind review. Analysis: Accuracy plus limitations of causal interpretation</t>
        </is>
      </c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21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21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26" customHeight="1">
      <c r="A150" s="28" t="inlineStr">
        <is>
          <t>Project risks and mitigations</t>
        </is>
      </c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21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32" customHeight="1">
      <c r="A152" s="9" t="inlineStr">
        <is>
          <t>Risk ID</t>
        </is>
      </c>
      <c r="B152" s="9" t="inlineStr">
        <is>
          <t>Risk</t>
        </is>
      </c>
      <c r="C152" s="9" t="inlineStr">
        <is>
          <t>Trigger / concern</t>
        </is>
      </c>
      <c r="D152" s="9" t="inlineStr">
        <is>
          <t>Owner</t>
        </is>
      </c>
      <c r="E152" s="9" t="inlineStr">
        <is>
          <t>Status</t>
        </is>
      </c>
      <c r="F152" s="9" t="inlineStr">
        <is>
          <t>Issue reference</t>
        </is>
      </c>
      <c r="G152" s="9" t="inlineStr">
        <is>
          <t>Next action</t>
        </is>
      </c>
      <c r="H152" s="9" t="inlineStr">
        <is>
          <t>Review effort h</t>
        </is>
      </c>
      <c r="I152" s="9" t="inlineStr">
        <is>
          <t>Due</t>
        </is>
      </c>
      <c r="J152" s="9" t="inlineStr">
        <is>
          <t>Evidence</t>
        </is>
      </c>
      <c r="K152" s="9" t="inlineStr">
        <is>
          <t>Mitigation</t>
        </is>
      </c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94" customHeight="1">
      <c r="A153" s="20" t="inlineStr">
        <is>
          <t>TB-R1</t>
        </is>
      </c>
      <c r="B153" s="20" t="inlineStr">
        <is>
          <t>Threat-model coverage</t>
        </is>
      </c>
      <c r="C153" s="20" t="inlineStr">
        <is>
          <t>Unknown attack families remain untested</t>
        </is>
      </c>
      <c r="D153" s="23" t="n"/>
      <c r="E153" s="23" t="n"/>
      <c r="F153" s="23" t="n"/>
      <c r="G153" s="23" t="n"/>
      <c r="H153" s="23" t="n"/>
      <c r="I153" s="46" t="n"/>
      <c r="J153" s="23" t="n"/>
      <c r="K153" s="20" t="inlineStr">
        <is>
          <t>State supported surfaces and maintain new-family holdouts</t>
        </is>
      </c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94" customHeight="1">
      <c r="A154" s="19" t="inlineStr">
        <is>
          <t>TB-R2</t>
        </is>
      </c>
      <c r="B154" s="19" t="inlineStr">
        <is>
          <t>Provider variability</t>
        </is>
      </c>
      <c r="C154" s="19" t="inlineStr">
        <is>
          <t>Model revisions or outages confound comparisons</t>
        </is>
      </c>
      <c r="D154" s="23" t="n"/>
      <c r="E154" s="23" t="n"/>
      <c r="F154" s="23" t="n"/>
      <c r="G154" s="23" t="n"/>
      <c r="H154" s="23" t="n"/>
      <c r="I154" s="46" t="n"/>
      <c r="J154" s="23" t="n"/>
      <c r="K154" s="19" t="inlineStr">
        <is>
          <t>Capture version/time; pair runs and report incomplete trials</t>
        </is>
      </c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94" customHeight="1">
      <c r="A155" s="20" t="inlineStr">
        <is>
          <t>TB-R3</t>
        </is>
      </c>
      <c r="B155" s="20" t="inlineStr">
        <is>
          <t>Policy bypass</t>
        </is>
      </c>
      <c r="C155" s="20" t="inlineStr">
        <is>
          <t>Raw client or alternate tool path bypasses gateway</t>
        </is>
      </c>
      <c r="D155" s="23" t="n"/>
      <c r="E155" s="23" t="n"/>
      <c r="F155" s="23" t="n"/>
      <c r="G155" s="23" t="n"/>
      <c r="H155" s="23" t="n"/>
      <c r="I155" s="46" t="n"/>
      <c r="J155" s="23" t="n"/>
      <c r="K155" s="20" t="inlineStr">
        <is>
          <t>Centralize invocation and test every adapter</t>
        </is>
      </c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94" customHeight="1">
      <c r="A156" s="19" t="inlineStr">
        <is>
          <t>TB-R4</t>
        </is>
      </c>
      <c r="B156" s="19" t="inlineStr">
        <is>
          <t>Spend growth</t>
        </is>
      </c>
      <c r="C156" s="19" t="inlineStr">
        <is>
          <t>Repeats, retries and attack variants multiply calls</t>
        </is>
      </c>
      <c r="D156" s="23" t="n"/>
      <c r="E156" s="23" t="n"/>
      <c r="F156" s="23" t="n"/>
      <c r="G156" s="23" t="n"/>
      <c r="H156" s="23" t="n"/>
      <c r="I156" s="46" t="n"/>
      <c r="J156" s="23" t="n"/>
      <c r="K156" s="19" t="inlineStr">
        <is>
          <t>Pilot first, bound jobs and stop at budget</t>
        </is>
      </c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21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21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26" customHeight="1">
      <c r="A159" s="28" t="inlineStr">
        <is>
          <t>Sources and verification notes</t>
        </is>
      </c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21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32" customHeight="1">
      <c r="A161" s="9" t="inlineStr">
        <is>
          <t>Source ID</t>
        </is>
      </c>
      <c r="B161" s="9" t="inlineStr">
        <is>
          <t>Primary reference</t>
        </is>
      </c>
      <c r="C161" s="9" t="inlineStr">
        <is>
          <t>Use / verification limitation</t>
        </is>
      </c>
      <c r="D161" s="9" t="inlineStr">
        <is>
          <t>Checked on</t>
        </is>
      </c>
      <c r="E161" s="9" t="inlineStr">
        <is>
          <t>Pinned version</t>
        </is>
      </c>
      <c r="F161" s="9" t="inlineStr">
        <is>
          <t>Local access result</t>
        </is>
      </c>
      <c r="G161" s="9" t="inlineStr">
        <is>
          <t>License record</t>
        </is>
      </c>
      <c r="H161" s="9" t="inlineStr">
        <is>
          <t>Config reference</t>
        </is>
      </c>
      <c r="I161" s="9" t="inlineStr">
        <is>
          <t>Owner</t>
        </is>
      </c>
      <c r="J161" s="9" t="inlineStr">
        <is>
          <t>Notes</t>
        </is>
      </c>
      <c r="K161" s="9" t="inlineStr">
        <is>
          <t>Source URL</t>
        </is>
      </c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15" customHeight="1">
      <c r="A162" s="20" t="inlineStr">
        <is>
          <t>TB-S1</t>
        </is>
      </c>
      <c r="B162" s="20" t="inlineStr">
        <is>
          <t>AgentDojo repository</t>
        </is>
      </c>
      <c r="C162" s="20" t="inlineStr">
        <is>
          <t>Benchmark setup, task/attack suites and license. Pin a commit.</t>
        </is>
      </c>
      <c r="D162" s="52" t="n">
        <v>46309</v>
      </c>
      <c r="E162" s="23" t="n"/>
      <c r="F162" s="23" t="n"/>
      <c r="G162" s="23" t="n"/>
      <c r="H162" s="23" t="n"/>
      <c r="I162" s="23" t="n"/>
      <c r="J162" s="23" t="n"/>
      <c r="K162" s="39" t="inlineStr">
        <is>
          <t>https://github.com/ethz-spylab/agentdojo</t>
        </is>
      </c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15" customHeight="1">
      <c r="A163" s="19" t="inlineStr">
        <is>
          <t>TB-S2</t>
        </is>
      </c>
      <c r="B163" s="19" t="inlineStr">
        <is>
          <t>CaMeL: Defeating Prompt Injections by Design</t>
        </is>
      </c>
      <c r="C163" s="19" t="inlineStr">
        <is>
          <t>Prior work on separating control and untrusted data. Compare scope; do not claim the idea as new.</t>
        </is>
      </c>
      <c r="D163" s="53" t="n">
        <v>46309</v>
      </c>
      <c r="E163" s="23" t="n"/>
      <c r="F163" s="23" t="n"/>
      <c r="G163" s="23" t="n"/>
      <c r="H163" s="23" t="n"/>
      <c r="I163" s="23" t="n"/>
      <c r="J163" s="23" t="n"/>
      <c r="K163" s="40" t="inlineStr">
        <is>
          <t>https://arxiv.org/abs/2503.18813</t>
        </is>
      </c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15" customHeight="1">
      <c r="A164" s="20" t="inlineStr">
        <is>
          <t>TB-S3</t>
        </is>
      </c>
      <c r="B164" s="20" t="inlineStr">
        <is>
          <t>LangGraph interrupts</t>
        </is>
      </c>
      <c r="C164" s="20" t="inlineStr">
        <is>
          <t>Durable pause/resume and node replay behavior for approval workflows.</t>
        </is>
      </c>
      <c r="D164" s="52" t="n">
        <v>46309</v>
      </c>
      <c r="E164" s="23" t="n"/>
      <c r="F164" s="23" t="n"/>
      <c r="G164" s="23" t="n"/>
      <c r="H164" s="23" t="n"/>
      <c r="I164" s="23" t="n"/>
      <c r="J164" s="23" t="n"/>
      <c r="K164" s="39" t="inlineStr">
        <is>
          <t>https://docs.langchain.com/oss/python/langgraph/interrupts</t>
        </is>
      </c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21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21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21" customHeight="1">
      <c r="A167" s="2" t="inlineStr">
        <is>
          <t>Top: A1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</sheetData>
  <conditionalFormatting sqref="D12:D71">
    <cfRule type="containsText" priority="1" operator="containsText" dxfId="0" text="Not Started"/>
    <cfRule type="containsText" priority="2" operator="containsText" dxfId="1" text="In Progress"/>
    <cfRule type="containsText" priority="3" operator="containsText" dxfId="2" text="Blocked"/>
    <cfRule type="containsText" priority="4" operator="containsText" dxfId="3" text="Completed"/>
  </conditionalFormatting>
  <conditionalFormatting sqref="G12:G71">
    <cfRule type="containsText" priority="5" operator="containsText" dxfId="3" text="Ready"/>
    <cfRule type="containsText" priority="6" operator="containsText" dxfId="2" text="Bad dependency"/>
    <cfRule type="containsText" priority="7" operator="containsText" dxfId="2" text="Check prerequisites"/>
    <cfRule type="containsText" priority="8" operator="containsText" dxfId="2" text="Evidence needed"/>
  </conditionalFormatting>
  <conditionalFormatting sqref="J5">
    <cfRule type="cellIs" priority="9" operator="greaterThan" dxfId="8">
      <formula>0</formula>
    </cfRule>
  </conditionalFormatting>
  <dataValidations count="4">
    <dataValidation sqref="B7" showDropDown="0" showInputMessage="0" showErrorMessage="0" allowBlank="0" type="decimal" operator="between">
      <formula1>1</formula1>
      <formula2>80</formula2>
    </dataValidation>
    <dataValidation sqref="D12:D71" showDropDown="0" showInputMessage="0" showErrorMessage="0" allowBlank="0" type="list">
      <formula1>"Not Started,In Progress,Blocked,Completed"</formula1>
    </dataValidation>
    <dataValidation sqref="H12:H71" showDropDown="0" showInputMessage="0" showErrorMessage="0" allowBlank="0" type="decimal" operator="between">
      <formula1>0.1</formula1>
      <formula2>1000</formula2>
    </dataValidation>
    <dataValidation sqref="D144:D147" showDropDown="0" showInputMessage="0" showErrorMessage="0" allowBlank="0" type="list">
      <formula1>"Not Started,In Progress,Blocked,Completed"</formula1>
    </dataValidation>
  </dataValidations>
  <pageMargins left="0.7" right="0.7" top="0.75" bottom="0.75" header="0.3" footer="0.3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2026-10-15T08:28:30Z</dcterms:created>
  <dcterms:modified xsi:type="dcterms:W3CDTF">2026-10-15T17:10:32Z</dcterms:modified>
</cp:coreProperties>
</file>