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62D2DB8E-9C35-D943-9D8D-EE66C771CAA9}"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U59" i="1"/>
  <c r="G59" i="1"/>
  <c r="U58" i="1"/>
  <c r="G58" i="1"/>
  <c r="U57" i="1"/>
  <c r="G57" i="1"/>
  <c r="U56" i="1"/>
  <c r="U55" i="1"/>
  <c r="G56" i="1" s="1"/>
  <c r="U54" i="1"/>
  <c r="G55" i="1" s="1"/>
  <c r="U53" i="1"/>
  <c r="G60" i="1" s="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8" i="1" l="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<sst xmlns="http://schemas.openxmlformats.org/spreadsheetml/2006/main" count="1241" uniqueCount="897">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</sst>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I57" activePane="bottomRight" state="frozen"/>
      <selection pane="topRight"/>
      <selection pane="bottomLeft"/>
      <selection pane="bottomRight" activeCell="D53" sqref="D53"/>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44</v>
      </c>
      <c r="C5" s="6">
        <f>IF(A5=0,0,B5/A5)</f>
        <v>0.61111111111111116</v>
      </c>
      <c r="D5" s="5">
        <f>COUNTIFS($D$12:$D$83,"Blocked")</f>
        <v>0</v>
      </c>
      <c r="E5" s="5">
        <f>SUM($H$12:$H$83)</f>
        <v>357</v>
      </c>
      <c r="F5" s="5">
        <f>SUMIFS($H$12:$H$83,$D$12:$D$83,"&lt;&gt;Completed")</f>
        <v>156</v>
      </c>
      <c r="G5" s="6">
        <f>COUNTIFS($Q$12:$Q$83,"Core",$D$12:$D$83,"Completed")/COUNTIFS($Q$12:$Q$83,"Core")</f>
        <v>0.81481481481481477</v>
      </c>
      <c r="H5" s="7">
        <f>IF(B7&gt;0,SUMIFS($H$12:$H$83,$Q$12:$Q$83,"Core",$D$12:$D$83,"&lt;&gt;Completed")/B7,"Set hours/week")</f>
        <v>2.6666666666666665</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288</v>
      </c>
      <c r="E56" s="11" t="s">
        <v>422</v>
      </c>
      <c r="F56" s="11"/>
      <c r="G56" s="11" t="str">
        <f t="shared" si="2"/>
        <v>Ready</v>
      </c>
      <c r="H56" s="18">
        <v>4</v>
      </c>
      <c r="I56" s="14"/>
      <c r="J56" s="16"/>
      <c r="K56" s="11" t="s">
        <v>432</v>
      </c>
      <c r="L56" s="11" t="s">
        <v>433</v>
      </c>
      <c r="M56" s="11" t="s">
        <v>434</v>
      </c>
      <c r="N56" s="11" t="s">
        <v>435</v>
      </c>
      <c r="O56" s="11" t="s">
        <v>436</v>
      </c>
      <c r="P56" s="11" t="s">
        <v>437</v>
      </c>
      <c r="Q56" s="11" t="s">
        <v>43</v>
      </c>
      <c r="R56" s="11"/>
      <c r="S56" s="14"/>
      <c r="T56" s="14"/>
      <c r="U56" s="10">
        <f t="shared" si="3"/>
        <v>0</v>
      </c>
    </row>
    <row r="57" spans="1:21" ht="64" customHeight="1">
      <c r="A57" s="10" t="s">
        <v>438</v>
      </c>
      <c r="B57" s="10" t="s">
        <v>414</v>
      </c>
      <c r="C57" s="10" t="s">
        <v>439</v>
      </c>
      <c r="D57" s="14" t="s">
        <v>288</v>
      </c>
      <c r="E57" s="10" t="s">
        <v>430</v>
      </c>
      <c r="F57" s="10"/>
      <c r="G57" s="10" t="str">
        <f t="shared" si="2"/>
        <v>Waiting</v>
      </c>
      <c r="H57" s="18">
        <v>4</v>
      </c>
      <c r="I57" s="14"/>
      <c r="J57" s="16"/>
      <c r="K57" s="10" t="s">
        <v>440</v>
      </c>
      <c r="L57" s="10" t="s">
        <v>441</v>
      </c>
      <c r="M57" s="10" t="s">
        <v>442</v>
      </c>
      <c r="N57" s="10" t="s">
        <v>443</v>
      </c>
      <c r="O57" s="10" t="s">
        <v>444</v>
      </c>
      <c r="P57" s="10" t="s">
        <v>445</v>
      </c>
      <c r="Q57" s="10" t="s">
        <v>43</v>
      </c>
      <c r="R57" s="10"/>
      <c r="S57" s="14"/>
      <c r="T57" s="14"/>
      <c r="U57" s="10">
        <f t="shared" si="3"/>
        <v>0</v>
      </c>
    </row>
    <row r="58" spans="1:21" ht="64" customHeight="1">
      <c r="A58" s="11" t="s">
        <v>446</v>
      </c>
      <c r="B58" s="11" t="s">
        <v>414</v>
      </c>
      <c r="C58" s="11" t="s">
        <v>447</v>
      </c>
      <c r="D58" s="14" t="s">
        <v>288</v>
      </c>
      <c r="E58" s="11" t="s">
        <v>438</v>
      </c>
      <c r="F58" s="11"/>
      <c r="G58" s="11" t="str">
        <f t="shared" si="2"/>
        <v>Waiting</v>
      </c>
      <c r="H58" s="18">
        <v>5</v>
      </c>
      <c r="I58" s="14"/>
      <c r="J58" s="16"/>
      <c r="K58" s="11" t="s">
        <v>448</v>
      </c>
      <c r="L58" s="11" t="s">
        <v>449</v>
      </c>
      <c r="M58" s="11" t="s">
        <v>450</v>
      </c>
      <c r="N58" s="11" t="s">
        <v>451</v>
      </c>
      <c r="O58" s="11" t="s">
        <v>452</v>
      </c>
      <c r="P58" s="11" t="s">
        <v>453</v>
      </c>
      <c r="Q58" s="11" t="s">
        <v>43</v>
      </c>
      <c r="R58" s="11"/>
      <c r="S58" s="14"/>
      <c r="T58" s="14"/>
      <c r="U58" s="10">
        <f t="shared" si="3"/>
        <v>0</v>
      </c>
    </row>
    <row r="59" spans="1:21" ht="64" customHeight="1">
      <c r="A59" s="10" t="s">
        <v>454</v>
      </c>
      <c r="B59" s="10" t="s">
        <v>414</v>
      </c>
      <c r="C59" s="10" t="s">
        <v>455</v>
      </c>
      <c r="D59" s="14" t="s">
        <v>288</v>
      </c>
      <c r="E59" s="10" t="s">
        <v>446</v>
      </c>
      <c r="F59" s="10"/>
      <c r="G59" s="10" t="str">
        <f t="shared" si="2"/>
        <v>Waiting</v>
      </c>
      <c r="H59" s="18">
        <v>3</v>
      </c>
      <c r="I59" s="14"/>
      <c r="J59" s="16"/>
      <c r="K59" s="10" t="s">
        <v>456</v>
      </c>
      <c r="L59" s="10" t="s">
        <v>457</v>
      </c>
      <c r="M59" s="10" t="s">
        <v>458</v>
      </c>
      <c r="N59" s="10" t="s">
        <v>459</v>
      </c>
      <c r="O59" s="10" t="s">
        <v>460</v>
      </c>
      <c r="P59" s="10" t="s">
        <v>461</v>
      </c>
      <c r="Q59" s="10" t="s">
        <v>43</v>
      </c>
      <c r="R59" s="10"/>
      <c r="S59" s="14"/>
      <c r="T59" s="14"/>
      <c r="U59" s="10">
        <f t="shared" si="3"/>
        <v>0</v>
      </c>
    </row>
    <row r="60" spans="1:21" ht="64" customHeight="1">
      <c r="A60" s="12" t="s">
        <v>462</v>
      </c>
      <c r="B60" s="12" t="s">
        <v>463</v>
      </c>
      <c r="C60" s="12" t="s">
        <v>464</v>
      </c>
      <c r="D60" s="13" t="s">
        <v>288</v>
      </c>
      <c r="E60" s="12" t="s">
        <v>405</v>
      </c>
      <c r="F60" s="12" t="s">
        <v>454</v>
      </c>
      <c r="G60" s="12" t="str">
        <f t="shared" si="2"/>
        <v>Waiting</v>
      </c>
      <c r="H60" s="17">
        <v>3</v>
      </c>
      <c r="I60" s="13"/>
      <c r="J60" s="15"/>
      <c r="K60" s="12" t="s">
        <v>874</v>
      </c>
      <c r="L60" s="12" t="s">
        <v>465</v>
      </c>
      <c r="M60" s="12" t="s">
        <v>466</v>
      </c>
      <c r="N60" s="12" t="s">
        <v>467</v>
      </c>
      <c r="O60" s="12" t="s">
        <v>468</v>
      </c>
      <c r="P60" s="12" t="s">
        <v>469</v>
      </c>
      <c r="Q60" s="12" t="s">
        <v>43</v>
      </c>
      <c r="R60" s="12"/>
      <c r="S60" s="13"/>
      <c r="T60" s="13"/>
      <c r="U60" s="10">
        <f t="shared" si="3"/>
        <v>0</v>
      </c>
    </row>
    <row r="61" spans="1:21" ht="64" customHeight="1">
      <c r="A61" s="10" t="s">
        <v>470</v>
      </c>
      <c r="B61" s="10" t="s">
        <v>463</v>
      </c>
      <c r="C61" s="10" t="s">
        <v>471</v>
      </c>
      <c r="D61" s="14" t="s">
        <v>288</v>
      </c>
      <c r="E61" s="10" t="s">
        <v>462</v>
      </c>
      <c r="F61" s="10"/>
      <c r="G61" s="10" t="str">
        <f t="shared" si="2"/>
        <v>Waiting</v>
      </c>
      <c r="H61" s="18">
        <v>3</v>
      </c>
      <c r="I61" s="14"/>
      <c r="J61" s="16"/>
      <c r="K61" s="10" t="s">
        <v>875</v>
      </c>
      <c r="L61" s="10" t="s">
        <v>472</v>
      </c>
      <c r="M61" s="10" t="s">
        <v>473</v>
      </c>
      <c r="N61" s="10" t="s">
        <v>474</v>
      </c>
      <c r="O61" s="10" t="s">
        <v>475</v>
      </c>
      <c r="P61" s="10" t="s">
        <v>476</v>
      </c>
      <c r="Q61" s="10" t="s">
        <v>43</v>
      </c>
      <c r="R61" s="10"/>
      <c r="S61" s="14"/>
      <c r="T61" s="14"/>
      <c r="U61" s="10">
        <f t="shared" si="3"/>
        <v>0</v>
      </c>
    </row>
    <row r="62" spans="1:21" ht="64" customHeight="1">
      <c r="A62" s="11" t="s">
        <v>477</v>
      </c>
      <c r="B62" s="11" t="s">
        <v>463</v>
      </c>
      <c r="C62" s="11" t="s">
        <v>478</v>
      </c>
      <c r="D62" s="14" t="s">
        <v>288</v>
      </c>
      <c r="E62" s="11" t="s">
        <v>470</v>
      </c>
      <c r="F62" s="11"/>
      <c r="G62" s="11" t="str">
        <f t="shared" si="2"/>
        <v>Waiting</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2</v>
      </c>
      <c r="D98" s="10">
        <f t="shared" si="8"/>
        <v>4</v>
      </c>
      <c r="E98" s="10">
        <f t="shared" si="9"/>
        <v>0</v>
      </c>
      <c r="F98" s="10">
        <f t="shared" si="10"/>
        <v>0</v>
      </c>
      <c r="G98" s="21">
        <f t="shared" si="11"/>
        <v>0.33333333333333331</v>
      </c>
      <c r="H98" s="10">
        <f t="shared" si="12"/>
        <v>25</v>
      </c>
      <c r="I98" s="10">
        <f t="shared" si="13"/>
        <v>16</v>
      </c>
      <c r="J98" s="10">
        <f t="shared" si="14"/>
        <v>1</v>
      </c>
      <c r="K98" s="1"/>
      <c r="L98" s="1"/>
      <c r="M98" s="1"/>
      <c r="N98" s="1"/>
      <c r="O98" s="1"/>
      <c r="P98" s="1"/>
      <c r="Q98" s="1"/>
      <c r="R98" s="1"/>
      <c r="S98" s="1"/>
      <c r="T98" s="1"/>
      <c r="U98" s="1"/>
    </row>
    <row r="99" spans="1:21" ht="38" customHeight="1">
      <c r="A99" s="11" t="s">
        <v>463</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2026-10-17T18:42:30Z</dcterms:modified>
</cp:coreProperties>
</file>