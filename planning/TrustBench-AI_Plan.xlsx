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19246541244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12269e845b8047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a34ac33b984490" /><Relationship Type="http://schemas.openxmlformats.org/officeDocument/2006/relationships/theme" Target="/xl/theme/theme1.xml" Id="R9163a6dbe0ed46af" /><Relationship Type="http://schemas.openxmlformats.org/officeDocument/2006/relationships/sharedStrings" Target="/xl/sharedStrings.xml" Id="R3ed4a13d93f14d10" /><Relationship Type="http://schemas.openxmlformats.org/officeDocument/2006/relationships/worksheet" Target="/xl/worksheets/sheet1.xml" Id="R12269e845b8047a7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c2ee0c93b340b7" /><Relationship Type="http://schemas.openxmlformats.org/officeDocument/2006/relationships/table" Target="/xl/tables/table2.xml" Id="R7f62413b1b864242" /><Relationship Type="http://schemas.openxmlformats.org/officeDocument/2006/relationships/table" Target="/xl/tables/table3.xml" Id="R4cef43a355aa4973" /><Relationship Type="http://schemas.openxmlformats.org/officeDocument/2006/relationships/table" Target="/xl/tables/table4.xml" Id="Rebc6dce8846b4d05" /><Relationship Type="http://schemas.openxmlformats.org/officeDocument/2006/relationships/table" Target="/xl/tables/table5.xml" Id="R6362250bdc8a47bc" /><Relationship Type="http://schemas.openxmlformats.org/officeDocument/2006/relationships/table" Target="/xl/tables/table6.xml" Id="R8c7769dfe72b4751" /><Relationship Type="http://schemas.openxmlformats.org/officeDocument/2006/relationships/table" Target="/xl/tables/table7.xml" Id="R34fd9b02a52e4503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5</x:v>
      </x:c>
      <x:c r="C5" s="13" t="n">
        <x:f>IF(A5=0,0,B5/A5)</x:f>
        <x:v>0.08333333333333333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266</x:v>
      </x:c>
      <x:c r="G5" s="13" t="n">
        <x:f>COUNTIFS($Q$12:$Q$71,"Core",$D$12:$D$71,"Completed")/COUNTIFS($Q$12:$Q$71,"Core")</x:f>
        <x:v>0.09259259259259259</x:v>
      </x:c>
      <x:c r="H5" s="14" t="n">
        <x:f>IF(B7&gt;0,SUMIFS($H$12:$H$71,$Q$12:$Q$71,"Core",$D$12:$D$71,"&lt;&gt;Completed")/B7,"Set hours/week")</x:f>
        <x:v>17.833333333333332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In Progress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In Progress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/Volumes/MHRJ/TrustBench-AI/docs/budget-policy.md</x:v>
      </x:c>
      <x:c r="T16" s="23" t="str">
        <x:v>Budget code and cancellation tests pass. Completion still requires one credentialed provider pilot with provider-reported token usage, measured elapsed time and execution-time pricing evidence.</x:v>
      </x:c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Not Started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Ready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/>
      <x:c r="T18" s="22" t="str"/>
      <x:c r="U18" s="19" t="n">
        <x:f>IF(LEN(S18)&gt;0,1,0)</x:f>
        <x:v>0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Not Started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Waiting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/>
      <x:c r="T19" s="23" t="str"/>
      <x:c r="U19" s="19" t="n">
        <x:f>IF(LEN(S19)&gt;0,1,0)</x:f>
        <x:v>0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Not Started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Waiting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/>
      <x:c r="T20" s="23" t="str"/>
      <x:c r="U20" s="19" t="n">
        <x:f>IF(LEN(S20)&gt;0,1,0)</x:f>
        <x:v>0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Not Started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Waiting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/>
      <x:c r="T21" s="23" t="str"/>
      <x:c r="U21" s="19" t="n">
        <x:f>IF(LEN(S21)&gt;0,1,0)</x:f>
        <x:v>0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Not Started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Waiting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/>
      <x:c r="T22" s="23" t="str"/>
      <x:c r="U22" s="19" t="n">
        <x:f>IF(LEN(S22)&gt;0,1,0)</x:f>
        <x:v>0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Not Started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Waiting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/>
      <x:c r="T23" s="23" t="str"/>
      <x:c r="U23" s="19" t="n">
        <x:f>IF(LEN(S23)&gt;0,1,0)</x:f>
        <x:v>0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Waiting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5</x:v>
      </x:c>
      <x:c r="D79" s="20" t="n">
        <x:f>COUNTIFS($B$12:$B$71,A79,$D$12:$D$71,"Not Started")</x:f>
        <x:v>0</x:v>
      </x:c>
      <x:c r="E79" s="20" t="n">
        <x:f>COUNTIFS($B$12:$B$71,A79,$D$12:$D$71,"In Progress")</x:f>
        <x:v>1</x:v>
      </x:c>
      <x:c r="F79" s="20" t="n">
        <x:f>COUNTIFS($B$12:$B$71,A79,$D$12:$D$71,"Blocked")</x:f>
        <x:v>0</x:v>
      </x:c>
      <x:c r="G79" s="29" t="n">
        <x:f>IF(B79=0,0,C79/B79)</x:f>
        <x:v>0.8333333333333334</x:v>
      </x:c>
      <x:c r="H79" s="20" t="n">
        <x:f>SUMIFS($H$12:$H$71,$B$12:$B$71,A79)</x:f>
        <x:v>21</x:v>
      </x:c>
      <x:c r="I79" s="20" t="n">
        <x:f>SUMIFS($H$12:$H$71,$B$12:$B$71,A79,$D$12:$D$71,"&lt;&gt;Completed")</x:f>
        <x:v>2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0</x:v>
      </x:c>
      <x:c r="D80" s="19" t="n">
        <x:f>COUNTIFS($B$12:$B$71,A80,$D$12:$D$71,"Not Started")</x:f>
        <x:v>6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0</x:v>
      </x:c>
      <x:c r="H80" s="19" t="n">
        <x:f>SUMIFS($H$12:$H$71,$B$12:$B$71,A80)</x:f>
        <x:v>24</x:v>
      </x:c>
      <x:c r="I80" s="19" t="n">
        <x:f>SUMIFS($H$12:$H$71,$B$12:$B$71,A80,$D$12:$D$71,"&lt;&gt;Completed")</x:f>
        <x:v>24</x:v>
      </x:c>
      <x:c r="J80" s="19" t="n">
        <x:f>COUNTIFS($B$12:$B$71,A80,$G$12:$G$71,"Ready")</x:f>
        <x:v>1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6bc2ee0c93b340b7"/>
    <x:tablePart xmlns:r="http://schemas.openxmlformats.org/officeDocument/2006/relationships" r:id="R7f62413b1b864242"/>
    <x:tablePart xmlns:r="http://schemas.openxmlformats.org/officeDocument/2006/relationships" r:id="R4cef43a355aa4973"/>
    <x:tablePart xmlns:r="http://schemas.openxmlformats.org/officeDocument/2006/relationships" r:id="Rebc6dce8846b4d05"/>
    <x:tablePart xmlns:r="http://schemas.openxmlformats.org/officeDocument/2006/relationships" r:id="R6362250bdc8a47bc"/>
    <x:tablePart xmlns:r="http://schemas.openxmlformats.org/officeDocument/2006/relationships" r:id="R8c7769dfe72b4751"/>
    <x:tablePart xmlns:r="http://schemas.openxmlformats.org/officeDocument/2006/relationships" r:id="R34fd9b02a52e4503"/>
  </x:tableParts>
</x:worksheet>
</file>