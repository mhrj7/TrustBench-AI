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9277e8534345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0ee9d4e1b25941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6d72870213457b" /><Relationship Type="http://schemas.openxmlformats.org/officeDocument/2006/relationships/theme" Target="/xl/theme/theme1.xml" Id="Rd3ef72d2b783442f" /><Relationship Type="http://schemas.openxmlformats.org/officeDocument/2006/relationships/sharedStrings" Target="/xl/sharedStrings.xml" Id="Rd924e490a88e493d" /><Relationship Type="http://schemas.openxmlformats.org/officeDocument/2006/relationships/worksheet" Target="/xl/worksheets/sheet1.xml" Id="R0ee9d4e1b2594185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45e2414db5481b" /><Relationship Type="http://schemas.openxmlformats.org/officeDocument/2006/relationships/table" Target="/xl/tables/table2.xml" Id="R9086f44fc7244ea0" /><Relationship Type="http://schemas.openxmlformats.org/officeDocument/2006/relationships/table" Target="/xl/tables/table3.xml" Id="R2a61c5a88d244452" /><Relationship Type="http://schemas.openxmlformats.org/officeDocument/2006/relationships/table" Target="/xl/tables/table4.xml" Id="R2df75fc6ec26439a" /><Relationship Type="http://schemas.openxmlformats.org/officeDocument/2006/relationships/table" Target="/xl/tables/table5.xml" Id="R4608a25adfaf4732" /><Relationship Type="http://schemas.openxmlformats.org/officeDocument/2006/relationships/table" Target="/xl/tables/table6.xml" Id="Rdddea8df32f54f2c" /><Relationship Type="http://schemas.openxmlformats.org/officeDocument/2006/relationships/table" Target="/xl/tables/table7.xml" Id="R57e0341f189343c9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4</x:v>
      </x:c>
      <x:c r="C5" s="13" t="n">
        <x:f>IF(A5=0,0,B5/A5)</x:f>
        <x:v>0.06666666666666667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270</x:v>
      </x:c>
      <x:c r="G5" s="13" t="n">
        <x:f>COUNTIFS($Q$12:$Q$71,"Core",$D$12:$D$71,"Completed")/COUNTIFS($Q$12:$Q$71,"Core")</x:f>
        <x:v>0.07407407407407407</x:v>
      </x:c>
      <x:c r="H5" s="14" t="n">
        <x:f>IF(B7&gt;0,SUMIFS($H$12:$H$71,$Q$12:$Q$71,"Core",$D$12:$D$71,"&lt;&gt;Completed")/B7,"Set hours/week")</x:f>
        <x:v>18.166666666666668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Not Started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Ready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/>
      <x:c r="T16" s="23" t="str"/>
      <x:c r="U16" s="19" t="n">
        <x:f>IF(LEN(S16)&gt;0,1,0)</x:f>
        <x:v>0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Not Started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Ready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/>
      <x:c r="T17" s="23" t="str"/>
      <x:c r="U17" s="19" t="n">
        <x:f>IF(LEN(S17)&gt;0,1,0)</x:f>
        <x:v>0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Not Started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Waiting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/>
      <x:c r="T18" s="22" t="str"/>
      <x:c r="U18" s="19" t="n">
        <x:f>IF(LEN(S18)&gt;0,1,0)</x:f>
        <x:v>0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Not Started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Waiting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/>
      <x:c r="T19" s="23" t="str"/>
      <x:c r="U19" s="19" t="n">
        <x:f>IF(LEN(S19)&gt;0,1,0)</x:f>
        <x:v>0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Not Started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Waiting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/>
      <x:c r="T20" s="23" t="str"/>
      <x:c r="U20" s="19" t="n">
        <x:f>IF(LEN(S20)&gt;0,1,0)</x:f>
        <x:v>0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Not Started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Waiting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/>
      <x:c r="T21" s="23" t="str"/>
      <x:c r="U21" s="19" t="n">
        <x:f>IF(LEN(S21)&gt;0,1,0)</x:f>
        <x:v>0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Waiting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4</x:v>
      </x:c>
      <x:c r="D79" s="20" t="n">
        <x:f>COUNTIFS($B$12:$B$71,A79,$D$12:$D$71,"Not Started")</x:f>
        <x:v>2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0.6666666666666666</x:v>
      </x:c>
      <x:c r="H79" s="20" t="n">
        <x:f>SUMIFS($H$12:$H$71,$B$12:$B$71,A79)</x:f>
        <x:v>21</x:v>
      </x:c>
      <x:c r="I79" s="20" t="n">
        <x:f>SUMIFS($H$12:$H$71,$B$12:$B$71,A79,$D$12:$D$71,"&lt;&gt;Completed")</x:f>
        <x:v>6</x:v>
      </x:c>
      <x:c r="J79" s="20" t="n">
        <x:f>COUNTIFS($B$12:$B$71,A79,$G$12:$G$71,"Ready")</x:f>
        <x:v>2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0</x:v>
      </x:c>
      <x:c r="D80" s="19" t="n">
        <x:f>COUNTIFS($B$12:$B$71,A80,$D$12:$D$71,"Not Started")</x:f>
        <x:v>6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</x:v>
      </x:c>
      <x:c r="H80" s="19" t="n">
        <x:f>SUMIFS($H$12:$H$71,$B$12:$B$71,A80)</x:f>
        <x:v>24</x:v>
      </x:c>
      <x:c r="I80" s="19" t="n">
        <x:f>SUMIFS($H$12:$H$71,$B$12:$B$71,A80,$D$12:$D$71,"&lt;&gt;Completed")</x:f>
        <x:v>24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ed45e2414db5481b"/>
    <x:tablePart xmlns:r="http://schemas.openxmlformats.org/officeDocument/2006/relationships" r:id="R9086f44fc7244ea0"/>
    <x:tablePart xmlns:r="http://schemas.openxmlformats.org/officeDocument/2006/relationships" r:id="R2a61c5a88d244452"/>
    <x:tablePart xmlns:r="http://schemas.openxmlformats.org/officeDocument/2006/relationships" r:id="R2df75fc6ec26439a"/>
    <x:tablePart xmlns:r="http://schemas.openxmlformats.org/officeDocument/2006/relationships" r:id="R4608a25adfaf4732"/>
    <x:tablePart xmlns:r="http://schemas.openxmlformats.org/officeDocument/2006/relationships" r:id="Rdddea8df32f54f2c"/>
    <x:tablePart xmlns:r="http://schemas.openxmlformats.org/officeDocument/2006/relationships" r:id="R57e0341f189343c9"/>
  </x:tableParts>
</x:worksheet>
</file>