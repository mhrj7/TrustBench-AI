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cb0157783945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52b7b39f0f8045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50f844004341fd" /><Relationship Type="http://schemas.openxmlformats.org/officeDocument/2006/relationships/theme" Target="/xl/theme/theme1.xml" Id="R27fd74022cad41c3" /><Relationship Type="http://schemas.openxmlformats.org/officeDocument/2006/relationships/sharedStrings" Target="/xl/sharedStrings.xml" Id="Rc1eea83a53a04496" /><Relationship Type="http://schemas.openxmlformats.org/officeDocument/2006/relationships/worksheet" Target="/xl/worksheets/sheet1.xml" Id="R52b7b39f0f8045f9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76e76dd80f4d5f" /><Relationship Type="http://schemas.openxmlformats.org/officeDocument/2006/relationships/table" Target="/xl/tables/table2.xml" Id="R291f22ba41c045c9" /><Relationship Type="http://schemas.openxmlformats.org/officeDocument/2006/relationships/table" Target="/xl/tables/table3.xml" Id="R8e3b294008ac4d7a" /><Relationship Type="http://schemas.openxmlformats.org/officeDocument/2006/relationships/table" Target="/xl/tables/table4.xml" Id="R87f931c549844edc" /><Relationship Type="http://schemas.openxmlformats.org/officeDocument/2006/relationships/table" Target="/xl/tables/table5.xml" Id="R07c534a6c64c42c9" /><Relationship Type="http://schemas.openxmlformats.org/officeDocument/2006/relationships/table" Target="/xl/tables/table6.xml" Id="R55f3a757102e4a62" /><Relationship Type="http://schemas.openxmlformats.org/officeDocument/2006/relationships/table" Target="/xl/tables/table7.xml" Id="Rb448d688fb0040b6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20</x:v>
      </x:c>
      <x:c r="C5" s="13" t="n">
        <x:f>IF(A5=0,0,B5/A5)</x:f>
        <x:v>0.3333333333333333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201</x:v>
      </x:c>
      <x:c r="G5" s="13" t="n">
        <x:f>COUNTIFS($Q$12:$Q$71,"Core",$D$12:$D$71,"Completed")/COUNTIFS($Q$12:$Q$71,"Core")</x:f>
        <x:v>0.37037037037037035</x:v>
      </x:c>
      <x:c r="H5" s="14" t="n">
        <x:f>IF(B7&gt;0,SUMIFS($H$12:$H$71,$Q$12:$Q$71,"Core",$D$12:$D$71,"&lt;&gt;Completed")/B7,"Set hours/week")</x:f>
        <x:v>12.416666666666666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Completed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Done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>
        <x:v>/Volumes/MHRJ/TrustBench-AI/tests/smoke/report.json</x:v>
      </x:c>
      <x:c r="T23" s="23"/>
      <x:c r="U23" s="19" t="n">
        <x:f>IF(LEN(S23)&gt;0,1,0)</x:f>
        <x:v>1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Completed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Done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>
        <x:v>/Volumes/MHRJ/TrustBench-AI/artifacts/verification/tb013-model-adapter.json</x:v>
      </x:c>
      <x:c r="T24" s="22"/>
      <x:c r="U24" s="19" t="n">
        <x:f>IF(LEN(S24)&gt;0,1,0)</x:f>
        <x:v>1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Completed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Done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>
        <x:v>/Volumes/MHRJ/TrustBench-AI/evidence/tb014-tool-service-report.json; /Volumes/MHRJ/TrustBench-AI/src/tools/; /Volumes/MHRJ/TrustBench-AI/agent/sandbox.ts; /Volumes/MHRJ/TrustBench-AI/agent/sandbox/Dockerfile</x:v>
      </x:c>
      <x:c r="T25" s="23"/>
      <x:c r="U25" s="19" t="n">
        <x:f>IF(LEN(S25)&gt;0,1,0)</x:f>
        <x:v>1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Completed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Done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>
        <x:v>/Volumes/MHRJ/TrustBench-AI/evidence/tb015-baseline-agent-report.json; /Volumes/MHRJ/TrustBench-AI/src/agent/</x:v>
      </x:c>
      <x:c r="T26" s="23"/>
      <x:c r="U26" s="19" t="n">
        <x:f>IF(LEN(S26)&gt;0,1,0)</x:f>
        <x:v>1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Completed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Done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>
        <x:v>/Volumes/MHRJ/TrustBench-AI/evidence/tb016-evaluator-report.json; /Volumes/MHRJ/TrustBench-AI/src/evaluators/; /Volumes/MHRJ/TrustBench-AI/tests/evaluators/</x:v>
      </x:c>
      <x:c r="T27" s="23"/>
      <x:c r="U27" s="19" t="n">
        <x:f>IF(LEN(S27)&gt;0,1,0)</x:f>
        <x:v>1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Completed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Done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>
        <x:v>/Volumes/MHRJ/TrustBench-AI/runs/baseline-pilot/</x:v>
      </x:c>
      <x:c r="T28" s="23"/>
      <x:c r="U28" s="19" t="n">
        <x:f>IF(LEN(S28)&gt;0,1,0)</x:f>
        <x:v>1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Completed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Done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>
        <x:v>/Volumes/MHRJ/TrustBench-AI/reports/failure-taxonomy.csv; /Volumes/MHRJ/TrustBench-AI/reports/failure-review.ipynb; /Volumes/MHRJ/TrustBench-AI/reports/tb018-review-summary.json</x:v>
      </x:c>
      <x:c r="T29" s="23"/>
      <x:c r="U29" s="19" t="n">
        <x:f>IF(LEN(S29)&gt;0,1,0)</x:f>
        <x:v>1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Completed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Done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>
        <x:v>/Volumes/MHRJ/TrustBench-AI/src/gateway/; /Volumes/MHRJ/TrustBench-AI/reports/tb019-gateway-tests.xml</x:v>
      </x:c>
      <x:c r="T30" s="22"/>
      <x:c r="U30" s="19" t="n">
        <x:f>IF(LEN(S30)&gt;0,1,0)</x:f>
        <x:v>1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Completed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Done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>
        <x:v>/Volumes/MHRJ/TrustBench-AI/tests/provenance/; /Volumes/MHRJ/TrustBench-AI/reports/tb020-provenance-tests.xml</x:v>
      </x:c>
      <x:c r="T31" s="23"/>
      <x:c r="U31" s="19" t="n">
        <x:f>IF(LEN(S31)&gt;0,1,0)</x:f>
        <x:v>1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Ready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6</x:v>
      </x:c>
      <x:c r="D80" s="19" t="n">
        <x:f>COUNTIFS($B$12:$B$71,A80,$D$12:$D$71,"Not Started")</x:f>
        <x:v>0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1</x:v>
      </x:c>
      <x:c r="H80" s="19" t="n">
        <x:f>SUMIFS($H$12:$H$71,$B$12:$B$71,A80)</x:f>
        <x:v>24</x:v>
      </x:c>
      <x:c r="I80" s="19" t="n">
        <x:f>SUMIFS($H$12:$H$71,$B$12:$B$71,A80,$D$12:$D$71,"&lt;&gt;Completed")</x:f>
        <x:v>0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6</x:v>
      </x:c>
      <x:c r="D81" s="20" t="n">
        <x:f>COUNTIFS($B$12:$B$71,A81,$D$12:$D$71,"Not Started")</x:f>
        <x:v>0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1</x:v>
      </x:c>
      <x:c r="H81" s="20" t="n">
        <x:f>SUMIFS($H$12:$H$71,$B$12:$B$71,A81)</x:f>
        <x:v>27</x:v>
      </x:c>
      <x:c r="I81" s="20" t="n">
        <x:f>SUMIFS($H$12:$H$71,$B$12:$B$71,A81,$D$12:$D$71,"&lt;&gt;Completed")</x:f>
        <x:v>0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2</x:v>
      </x:c>
      <x:c r="D82" s="19" t="n">
        <x:f>COUNTIFS($B$12:$B$71,A82,$D$12:$D$71,"Not Started")</x:f>
        <x:v>4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0.3333333333333333</x:v>
      </x:c>
      <x:c r="H82" s="19" t="n">
        <x:f>SUMIFS($H$12:$H$71,$B$12:$B$71,A82)</x:f>
        <x:v>33</x:v>
      </x:c>
      <x:c r="I82" s="19" t="n">
        <x:f>SUMIFS($H$12:$H$71,$B$12:$B$71,A82,$D$12:$D$71,"&lt;&gt;Completed")</x:f>
        <x:v>21</x:v>
      </x:c>
      <x:c r="J82" s="19" t="n">
        <x:f>COUNTIFS($B$12:$B$71,A82,$G$12:$G$71,"Ready")</x:f>
        <x:v>1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8876e76dd80f4d5f"/>
    <x:tablePart xmlns:r="http://schemas.openxmlformats.org/officeDocument/2006/relationships" r:id="R291f22ba41c045c9"/>
    <x:tablePart xmlns:r="http://schemas.openxmlformats.org/officeDocument/2006/relationships" r:id="R8e3b294008ac4d7a"/>
    <x:tablePart xmlns:r="http://schemas.openxmlformats.org/officeDocument/2006/relationships" r:id="R87f931c549844edc"/>
    <x:tablePart xmlns:r="http://schemas.openxmlformats.org/officeDocument/2006/relationships" r:id="R07c534a6c64c42c9"/>
    <x:tablePart xmlns:r="http://schemas.openxmlformats.org/officeDocument/2006/relationships" r:id="R55f3a757102e4a62"/>
    <x:tablePart xmlns:r="http://schemas.openxmlformats.org/officeDocument/2006/relationships" r:id="Rb448d688fb0040b6"/>
  </x:tableParts>
</x:worksheet>
</file>