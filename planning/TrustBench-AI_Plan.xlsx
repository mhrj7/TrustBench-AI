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D9934395-CCA2-D547-953D-A06BB940A1A5}"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U53" i="1"/>
  <c r="G53" i="1"/>
  <c r="U52" i="1"/>
  <c r="G52" i="1"/>
  <c r="U51" i="1"/>
  <c r="G51" i="1"/>
  <c r="U50" i="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G46" i="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<sst xmlns="http://schemas.openxmlformats.org/spreadsheetml/2006/main" count="1229" uniqueCount="885">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</sst>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44" activePane="bottomRight" state="frozen"/>
      <selection pane="topRight"/>
      <selection pane="bottomLeft"/>
      <selection pane="bottomRight" activeCell="G46" sqref="G46"/>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38</v>
      </c>
      <c r="C5" s="6">
        <f>IF(A5=0,0,B5/A5)</f>
        <v>0.52777777777777779</v>
      </c>
      <c r="D5" s="5">
        <f>COUNTIFS($D$12:$D$83,"Blocked")</f>
        <v>0</v>
      </c>
      <c r="E5" s="5">
        <f>SUM($H$12:$H$83)</f>
        <v>357</v>
      </c>
      <c r="F5" s="5">
        <f>SUMIFS($H$12:$H$83,$D$12:$D$83,"&lt;&gt;Completed")</f>
        <v>181</v>
      </c>
      <c r="G5" s="6">
        <f>COUNTIFS($Q$12:$Q$83,"Core",$D$12:$D$83,"Completed")/COUNTIFS($Q$12:$Q$83,"Core")</f>
        <v>0.70370370370370372</v>
      </c>
      <c r="H5" s="7">
        <f>IF(B7&gt;0,SUMIFS($H$12:$H$83,$Q$12:$Q$83,"Core",$D$12:$D$83,"&lt;&gt;Completed")/B7,"Set hours/week")</f>
        <v>4.75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288</v>
      </c>
      <c r="E50" s="11" t="s">
        <v>377</v>
      </c>
      <c r="F50" s="11"/>
      <c r="G50" s="11" t="str">
        <f t="shared" si="2"/>
        <v>Ready</v>
      </c>
      <c r="H50" s="18">
        <v>4</v>
      </c>
      <c r="I50" s="14"/>
      <c r="J50" s="16"/>
      <c r="K50" s="11" t="s">
        <v>870</v>
      </c>
      <c r="L50" s="11" t="s">
        <v>387</v>
      </c>
      <c r="M50" s="11" t="s">
        <v>388</v>
      </c>
      <c r="N50" s="11" t="s">
        <v>871</v>
      </c>
      <c r="O50" s="11" t="s">
        <v>389</v>
      </c>
      <c r="P50" s="11" t="s">
        <v>390</v>
      </c>
      <c r="Q50" s="11" t="s">
        <v>43</v>
      </c>
      <c r="R50" s="11"/>
      <c r="S50" s="14"/>
      <c r="T50" s="14"/>
      <c r="U50" s="10">
        <f t="shared" si="3"/>
        <v>0</v>
      </c>
    </row>
    <row r="51" spans="1:21" ht="64" customHeight="1">
      <c r="A51" s="10" t="s">
        <v>391</v>
      </c>
      <c r="B51" s="10" t="s">
        <v>369</v>
      </c>
      <c r="C51" s="10" t="s">
        <v>392</v>
      </c>
      <c r="D51" s="14" t="s">
        <v>288</v>
      </c>
      <c r="E51" s="10" t="s">
        <v>385</v>
      </c>
      <c r="F51" s="10"/>
      <c r="G51" s="10" t="str">
        <f t="shared" si="2"/>
        <v>Waiting</v>
      </c>
      <c r="H51" s="18">
        <v>5</v>
      </c>
      <c r="I51" s="14"/>
      <c r="J51" s="16"/>
      <c r="K51" s="10" t="s">
        <v>393</v>
      </c>
      <c r="L51" s="10" t="s">
        <v>394</v>
      </c>
      <c r="M51" s="10" t="s">
        <v>395</v>
      </c>
      <c r="N51" s="10" t="s">
        <v>396</v>
      </c>
      <c r="O51" s="10" t="s">
        <v>397</v>
      </c>
      <c r="P51" s="10" t="s">
        <v>398</v>
      </c>
      <c r="Q51" s="10" t="s">
        <v>43</v>
      </c>
      <c r="R51" s="10"/>
      <c r="S51" s="14"/>
      <c r="T51" s="14"/>
      <c r="U51" s="10">
        <f t="shared" si="3"/>
        <v>0</v>
      </c>
    </row>
    <row r="52" spans="1:21" ht="64" customHeight="1">
      <c r="A52" s="11" t="s">
        <v>399</v>
      </c>
      <c r="B52" s="11" t="s">
        <v>369</v>
      </c>
      <c r="C52" s="11" t="s">
        <v>400</v>
      </c>
      <c r="D52" s="14" t="s">
        <v>288</v>
      </c>
      <c r="E52" s="11" t="s">
        <v>391</v>
      </c>
      <c r="F52" s="11"/>
      <c r="G52" s="11" t="str">
        <f t="shared" si="2"/>
        <v>Waiting</v>
      </c>
      <c r="H52" s="18">
        <v>4</v>
      </c>
      <c r="I52" s="14"/>
      <c r="J52" s="16"/>
      <c r="K52" s="11" t="s">
        <v>872</v>
      </c>
      <c r="L52" s="11" t="s">
        <v>401</v>
      </c>
      <c r="M52" s="11" t="s">
        <v>402</v>
      </c>
      <c r="N52" s="11" t="s">
        <v>873</v>
      </c>
      <c r="O52" s="11" t="s">
        <v>403</v>
      </c>
      <c r="P52" s="11" t="s">
        <v>404</v>
      </c>
      <c r="Q52" s="11" t="s">
        <v>43</v>
      </c>
      <c r="R52" s="11"/>
      <c r="S52" s="14"/>
      <c r="T52" s="14"/>
      <c r="U52" s="10">
        <f t="shared" si="3"/>
        <v>0</v>
      </c>
    </row>
    <row r="53" spans="1:21" ht="64" customHeight="1">
      <c r="A53" s="10" t="s">
        <v>405</v>
      </c>
      <c r="B53" s="10" t="s">
        <v>369</v>
      </c>
      <c r="C53" s="10" t="s">
        <v>406</v>
      </c>
      <c r="D53" s="14" t="s">
        <v>288</v>
      </c>
      <c r="E53" s="10" t="s">
        <v>399</v>
      </c>
      <c r="F53" s="10"/>
      <c r="G53" s="10" t="str">
        <f t="shared" si="2"/>
        <v>Waiting</v>
      </c>
      <c r="H53" s="18">
        <v>3</v>
      </c>
      <c r="I53" s="14"/>
      <c r="J53" s="16"/>
      <c r="K53" s="10" t="s">
        <v>407</v>
      </c>
      <c r="L53" s="10" t="s">
        <v>408</v>
      </c>
      <c r="M53" s="10" t="s">
        <v>409</v>
      </c>
      <c r="N53" s="10" t="s">
        <v>410</v>
      </c>
      <c r="O53" s="10" t="s">
        <v>411</v>
      </c>
      <c r="P53" s="10" t="s">
        <v>412</v>
      </c>
      <c r="Q53" s="10" t="s">
        <v>43</v>
      </c>
      <c r="R53" s="10"/>
      <c r="S53" s="14"/>
      <c r="T53" s="14"/>
      <c r="U53" s="10">
        <f t="shared" si="3"/>
        <v>0</v>
      </c>
    </row>
    <row r="54" spans="1:21" ht="64" customHeight="1">
      <c r="A54" s="12" t="s">
        <v>413</v>
      </c>
      <c r="B54" s="12" t="s">
        <v>414</v>
      </c>
      <c r="C54" s="12" t="s">
        <v>415</v>
      </c>
      <c r="D54" s="13" t="s">
        <v>288</v>
      </c>
      <c r="E54" s="12" t="s">
        <v>360</v>
      </c>
      <c r="F54" s="12"/>
      <c r="G54" s="12" t="str">
        <f t="shared" si="2"/>
        <v>Ready</v>
      </c>
      <c r="H54" s="17">
        <v>4</v>
      </c>
      <c r="I54" s="13"/>
      <c r="J54" s="15"/>
      <c r="K54" s="12" t="s">
        <v>416</v>
      </c>
      <c r="L54" s="12" t="s">
        <v>417</v>
      </c>
      <c r="M54" s="12" t="s">
        <v>418</v>
      </c>
      <c r="N54" s="12" t="s">
        <v>419</v>
      </c>
      <c r="O54" s="12" t="s">
        <v>420</v>
      </c>
      <c r="P54" s="12" t="s">
        <v>421</v>
      </c>
      <c r="Q54" s="12" t="s">
        <v>43</v>
      </c>
      <c r="R54" s="12" t="s">
        <v>53</v>
      </c>
      <c r="S54" s="13"/>
      <c r="T54" s="13"/>
      <c r="U54" s="10">
        <f t="shared" si="3"/>
        <v>0</v>
      </c>
    </row>
    <row r="55" spans="1:21" ht="64" customHeight="1">
      <c r="A55" s="10" t="s">
        <v>422</v>
      </c>
      <c r="B55" s="10" t="s">
        <v>414</v>
      </c>
      <c r="C55" s="10" t="s">
        <v>423</v>
      </c>
      <c r="D55" s="14" t="s">
        <v>288</v>
      </c>
      <c r="E55" s="10" t="s">
        <v>413</v>
      </c>
      <c r="F55" s="10"/>
      <c r="G55" s="10" t="str">
        <f t="shared" si="2"/>
        <v>Waiting</v>
      </c>
      <c r="H55" s="18">
        <v>5</v>
      </c>
      <c r="I55" s="14"/>
      <c r="J55" s="16"/>
      <c r="K55" s="10" t="s">
        <v>424</v>
      </c>
      <c r="L55" s="10" t="s">
        <v>425</v>
      </c>
      <c r="M55" s="10" t="s">
        <v>426</v>
      </c>
      <c r="N55" s="10" t="s">
        <v>427</v>
      </c>
      <c r="O55" s="10" t="s">
        <v>428</v>
      </c>
      <c r="P55" s="10" t="s">
        <v>429</v>
      </c>
      <c r="Q55" s="10" t="s">
        <v>43</v>
      </c>
      <c r="R55" s="10"/>
      <c r="S55" s="14"/>
      <c r="T55" s="14"/>
      <c r="U55" s="10">
        <f t="shared" si="3"/>
        <v>0</v>
      </c>
    </row>
    <row r="56" spans="1:21" ht="64" customHeight="1">
      <c r="A56" s="11" t="s">
        <v>430</v>
      </c>
      <c r="B56" s="11" t="s">
        <v>414</v>
      </c>
      <c r="C56" s="11" t="s">
        <v>431</v>
      </c>
      <c r="D56" s="14" t="s">
        <v>288</v>
      </c>
      <c r="E56" s="11" t="s">
        <v>422</v>
      </c>
      <c r="F56" s="11"/>
      <c r="G56" s="11" t="str">
        <f t="shared" si="2"/>
        <v>Waiting</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2</v>
      </c>
      <c r="D97" s="11">
        <f t="shared" si="8"/>
        <v>4</v>
      </c>
      <c r="E97" s="11">
        <f t="shared" si="9"/>
        <v>0</v>
      </c>
      <c r="F97" s="11">
        <f t="shared" si="10"/>
        <v>0</v>
      </c>
      <c r="G97" s="20">
        <f t="shared" si="11"/>
        <v>0.33333333333333331</v>
      </c>
      <c r="H97" s="11">
        <f t="shared" si="12"/>
        <v>25</v>
      </c>
      <c r="I97" s="11">
        <f t="shared" si="13"/>
        <v>16</v>
      </c>
      <c r="J97" s="11">
        <f t="shared" si="14"/>
        <v>1</v>
      </c>
      <c r="K97" s="1"/>
      <c r="L97" s="1"/>
      <c r="M97" s="1"/>
      <c r="N97" s="1"/>
      <c r="O97" s="1"/>
      <c r="P97" s="1"/>
      <c r="Q97" s="1"/>
      <c r="R97" s="1"/>
      <c r="S97" s="1"/>
      <c r="T97" s="1"/>
      <c r="U97" s="1"/>
    </row>
    <row r="98" spans="1:21" ht="38" customHeight="1">
      <c r="A98" s="10" t="s">
        <v>414</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2026-10-17T08:23:39Z</dcterms:modified>
</cp:coreProperties>
</file>