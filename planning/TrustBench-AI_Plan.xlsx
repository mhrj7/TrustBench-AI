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C4F7D707-D680-3A48-8263-843F9AE8461D}" xr6:coauthVersionLast="47" xr6:coauthVersionMax="47" xr10:uidLastSave="{00000000-0000-0000-0000-000000000000}"/>
  <bookViews>
    <workbookView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69"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7" i="1" l="1"/>
  <c r="G60" i="1"/>
  <c r="G48" i="1"/>
  <c r="J97" i="1" s="1"/>
  <c r="G46" i="1"/>
  <c r="G43" i="1"/>
  <c r="G100" i="1"/>
  <c r="G72" i="1"/>
  <c r="G73" i="1"/>
  <c r="G74" i="1"/>
  <c r="G69"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<sst xmlns="http://schemas.openxmlformats.org/spreadsheetml/2006/main" count="1272" uniqueCount="927">
  <si>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</si>
  <si>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</si>
  <si>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</si>
  <si>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</si>
  <si>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</si>
  <si>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</si>
  <si>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</si>
  <si>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</si>
  <si>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</si>
  <si>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</si>
  <si>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</si>
  <si>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</si>
  <si>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</si>
  <si>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</si>
  <si>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</si>
  <si>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</si>
  <si>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</si>
  <si>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</si>
  <si>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</si>
  <si>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</si>
  <si>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</si>
  <si>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</si>
  <si>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</si>
  <si>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</si>
  <si>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</si>
  <si>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</si>
  <si>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</si>
  <si>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</si>
  <si>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</si>
  <si>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</si>
  <si>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</si>
  <si>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</si>
  <si>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</si>
  <si>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</si>
  <si>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</si>
  <si>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</si>
  <si>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</si>
  <si>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</si>
  <si>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</si>
  <si>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</si>
  <si>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</si>
  <si>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</si>
  <si>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</si>
  <si>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</si>
  <si>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</si>
  <si>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</si>
  <si>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</si>
  <si>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</si>
  <si>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</si>
  <si>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</si>
  <si>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</si>
  <si>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</si>
  <si>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</si>
  <si>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</si>
  <si>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</si>
  <si>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</si>
  <si>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</si>
  <si>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</si>
  <si>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</si>
  <si>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</si>
  <si>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</si>
  <si>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</si>
  <si>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</si>
  <si>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</si>
  <si>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</si>
  <si>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</si>
  <si>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</si>
  <si>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</si>
  <si>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</si>
  <si>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</si>
  <si>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</si>
  <si>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</si>
  <si>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</si>
  <si>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</si>
  <si>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</si>
  <si>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</si>
  <si>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</si>
  <si>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</si>
  <si>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</si>
  <si>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</si>
  <si>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</si>
  <si>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</si>
  <si>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</si>
  <si>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</si>
  <si>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</si>
  <si>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</si>
  <si>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</si>
  <si>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</si>
  <si>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</si>
  <si>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</si>
  <si>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</si>
  <si>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</si>
  <si>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</si>
  <si>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</si>
  <si>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</si>
  <si>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</si>
  <si>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</si>
  <si>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</si>
  <si>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</si>
  <si>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</si>
  <si>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</si>
  <si>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</si>
  <si>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</si>
  <si>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</si>
  <si>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</si>
  <si>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</si>
  <si>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</si>
  <si>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</si>
  <si>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</si>
  <si>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</si>
  <si>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</si>
  <si>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</si>
  <si>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</si>
  <si>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</si>
  <si>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</si>
  <si>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</si>
  <si>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</si>
  <si>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</si>
  <si>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</si>
  <si>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</si>
  <si>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</si>
  <si>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</si>
  <si>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</si>
  <si>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</si>
  <si>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</si>
  <si>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</si>
  <si>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</si>
  <si>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</si>
  <si>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</si>
  <si>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</si>
  <si>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</si>
  <si>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</si>
  <si>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</si>
  <si>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</si>
  <si>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</si>
  <si>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</si>
  <si>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</si>
  <si>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</si>
  <si>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</si>
  <si>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</si>
  <si>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</si>
  <si>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</si>
  <si>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</si>
  <si>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</si>
  <si>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</si>
  <si>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</si>
  <si>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</si>
  <si>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</si>
  <si>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</si>
  <si>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</si>
  <si>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</si>
  <si>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</si>
  <si>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</si>
  <si>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</si>
  <si>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</si>
  <si>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</si>
  <si>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</si>
  <si>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</si>
  <si>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</si>
  <si>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</si>
  <si>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</si>
  <si>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</si>
  <si>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</si>
  <si>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</si>
  <si>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</si>
  <si>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</si>
  <si>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</si>
  <si>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</si>
  <si>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</si>
  <si>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</si>
  <si>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</si>
  <si>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</si>
  <si>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</si>
  <si>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</si>
  <si>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</si>
  <si>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</si>
  <si>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</si>
  <si>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</si>
  <si>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</si>
  <si>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</si>
  <si>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</si>
  <si>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</si>
  <si>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</si>
  <si>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</si>
  <si>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</si>
  <si>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</si>
  <si>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</si>
  <si>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</si>
  <si>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</si>
  <si>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</si>
  <si>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</si>
  <si>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</si>
  <si>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</si>
  <si>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</si>
  <si>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</si>
  <si>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</si>
  <si>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</si>
  <si>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</si>
  <si>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</si>
  <si>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</si>
  <si>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</si>
  <si>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</si>
  <si>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</si>
  <si>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</si>
  <si>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</si>
  <si>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</si>
  <si>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</si>
  <si>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</si>
  <si>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</si>
  <si>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</si>
  <si>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</si>
  <si>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</si>
  <si>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</si>
  <si>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</si>
  <si>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</si>
  <si>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</si>
  <si>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</si>
  <si>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</si>
  <si>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</si>
  <si>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</si>
  <si>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</si>
  <si>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</si>
  <si>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</si>
  <si>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</si>
  <si>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</si>
  <si>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</si>
  <si>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</si>
  <si>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</si>
  <si>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</si>
  <si>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</si>
  <si>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</si>
  <si>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</si>
  <si>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</si>
  <si>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</si>
  <si>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</si>
  <si>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</si>
  <si>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</si>
  <si>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</si>
  <si>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</si>
  <si>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</si>
  <si>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</si>
  <si>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</si>
  <si>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</si>
  <si>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</si>
  <si>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</si>
  <si>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</si>
  <si>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</si>
  <si>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</si>
  <si>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</si>
  <si>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</si>
  <si>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</si>
  <si>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</si>
  <si>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</si>
  <si>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</si>
  <si>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</si>
  <si>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</si>
  <si>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</si>
  <si>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</si>
  <si>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</si>
  <si>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</si>
  <si>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</si>
  <si>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</si>
  <si>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</si>
  <si>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</si>
  <si>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</si>
  <si>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</si>
  <si>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</si>
  <si>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</si>
  <si>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</si>
  <si>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</si>
  <si>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</si>
  <si>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</si>
  <si>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</si>
  <si>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</si>
  <si>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</si>
  <si>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</si>
  <si>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</si>
  <si>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</si>
  <si>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</si>
  <si>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</si>
  <si>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</si>
  <si>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</si>
  <si>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</si>
  <si>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</si>
  <si>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</si>
  <si>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</si>
  <si>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</si>
  <si>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</si>
  <si>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</si>
  <si>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</si>
  <si>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</si>
  <si>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</si>
  <si>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</si>
  <si>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</si>
  <si>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</si>
  <si>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</si>
  <si>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</si>
  <si>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</si>
  <si>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</si>
  <si>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</si>
  <si>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</si>
  <si>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</si>
  <si>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</si>
  <si>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</si>
  <si>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</si>
  <si>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</si>
  <si>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</si>
  <si>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</si>
  <si>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</si>
  <si>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</si>
  <si>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</si>
  <si>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</si>
  <si>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</si>
  <si>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</si>
  <si>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</si>
  <si>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</si>
  <si>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</si>
  <si>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</si>
  <si>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</si>
  <si>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</si>
  <si>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</si>
  <si>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</si>
  <si>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</si>
  <si>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</si>
  <si>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</si>
  <si>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</si>
  <si>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</si>
  <si>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</si>
  <si>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</si>
  <si>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</si>
  <si>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</si>
  <si>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</si>
  <si>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</si>
  <si>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</si>
  <si>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</si>
  <si>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</si>
  <si>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</si>
  <si>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</si>
  <si>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</si>
  <si>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</si>
  <si>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</si>
  <si>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</si>
  <si>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</si>
  <si>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</si>
  <si>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</si>
  <si>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</si>
  <si>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</si>
  <si>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</si>
  <si>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</si>
  <si>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</si>
  <si>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</si>
  <si>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</si>
  <si>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</si>
  <si>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</si>
  <si>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</si>
  <si>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</si>
  <si>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</si>
  <si>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</si>
  <si>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</si>
  <si>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</si>
  <si>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</si>
  <si>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</si>
  <si>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</si>
  <si>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</si>
  <si>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</si>
  <si>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</si>
  <si>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</si>
  <si>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</si>
  <si>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</si>
  <si>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</si>
  <si>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</si>
  <si>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</si>
  <si>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</si>
  <si>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</si>
  <si>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</si>
  <si>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</si>
  <si>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</si>
  <si>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</si>
  <si>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</si>
  <si>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</si>
  <si>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</si>
  <si>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</si>
  <si>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</si>
  <si>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</si>
  <si>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</si>
  <si>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</si>
  <si>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</si>
  <si>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</si>
  <si>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</si>
  <si>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</si>
  <si>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</si>
  <si>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</si>
  <si>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</si>
  <si>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</si>
  <si>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</si>
  <si>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</si>
  <si>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</si>
  <si>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</si>
  <si>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</si>
  <si>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</si>
  <si>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</si>
  <si>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</si>
  <si>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</si>
  <si>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</si>
  <si>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</si>
  <si>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</si>
  <si>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</si>
  <si>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</si>
  <si>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</si>
  <si>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</si>
  <si>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</si>
  <si>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</si>
  <si>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</si>
  <si>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</si>
  <si>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</si>
  <si>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</si>
  <si>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</si>
  <si>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</si>
  <si>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</si>
  <si>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</si>
  <si>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</si>
  <si>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</si>
  <si>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</si>
  <si>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</si>
  <si>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</si>
  <si>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</si>
  <si>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</si>
  <si>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</si>
  <si>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</si>
  <si>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</si>
  <si>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</si>
  <si>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</si>
  <si>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</si>
  <si>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</si>
  <si>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</si>
  <si>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</si>
  <si>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</si>
  <si>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</si>
  <si>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</si>
  <si>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</si>
  <si>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</si>
  <si>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</si>
  <si>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</si>
  <si>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</si>
  <si>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</si>
  <si>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</si>
  <si>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</si>
  <si>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</si>
  <si>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</si>
  <si>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</si>
  <si>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</si>
  <si>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</si>
  <si>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</si>
  <si>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</si>
  <si>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</si>
  <si>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</si>
  <si>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</si>
  <si>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</si>
  <si>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</si>
  <si>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</si>
  <si>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</si>
  <si>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</si>
  <si>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</si>
  <si>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</si>
  <si>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</si>
  <si>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</si>
  <si>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</si>
  <si>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</si>
  <si>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</si>
  <si>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</si>
  <si>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</si>
  <si>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</si>
  <si>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</si>
  <si>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</si>
  <si>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</si>
  <si>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</si>
  <si>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</si>
  <si>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</si>
  <si>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</si>
  <si>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</si>
  <si>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</si>
  <si>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</si>
  <si>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</si>
  <si>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</si>
  <si>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</si>
  <si>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</si>
  <si>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</si>
  <si>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</si>
  <si>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</si>
  <si>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</si>
  <si>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</si>
  <si>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</si>
  <si>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</si>
  <si>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</si>
  <si>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</si>
  <si>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</si>
  <si>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</si>
  <si>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</si>
  <si>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</si>
  <si>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</si>
  <si>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</si>
  <si>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</si>
  <si>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</si>
  <si>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</si>
  <si>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</si>
  <si>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</si>
  <si>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</si>
  <si>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</si>
  <si>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</si>
  <si>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</si>
  <si>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</si>
  <si>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</si>
  <si>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</si>
  <si>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</si>
  <si>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</si>
  <si>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</si>
  <si>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</si>
  <si>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</si>
  <si>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</si>
  <si>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</si>
  <si>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</si>
  <si>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</si>
  <si>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</si>
  <si>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</si>
  <si>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</si>
  <si>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</si>
  <si>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</si>
  <si>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</si>
  <si>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</si>
  <si>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</si>
  <si>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</si>
  <si>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</si>
  <si>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</si>
  <si>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</si>
  <si>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</si>
  <si>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</si>
  <si>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</si>
  <si>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</si>
  <si>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</si>
  <si>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</si>
  <si>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</si>
  <si>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</si>
  <si>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</si>
  <si>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</si>
  <si>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</si>
  <si>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</si>
  <si>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</si>
  <si>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</si>
  <si>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</si>
  <si>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</si>
  <si>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</si>
  <si>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</si>
  <si>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</si>
  <si>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</si>
  <si>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</si>
  <si>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</si>
  <si>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</si>
  <si>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</si>
  <si>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</si>
  <si>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</si>
  <si>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</si>
  <si>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</si>
  <si>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</si>
  <si>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</si>
  <si>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</si>
  <si>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</si>
  <si>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</si>
  <si>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</si>
  <si>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</si>
  <si>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</si>
  <si>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</si>
  <si>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</si>
  <si>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</si>
  <si>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</si>
  <si>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</si>
  <si>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</si>
  <si>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</si>
  <si>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</si>
  <si>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</si>
  <si>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</si>
  <si>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</si>
  <si>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</si>
  <si>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</si>
  <si>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</si>
  <si>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</si>
  <si>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</si>
  <si>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</si>
  <si>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</si>
  <si>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</si>
  <si>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</si>
  <si>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</si>
  <si>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</si>
  <si>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</si>
  <si>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</si>
  <si>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</si>
  <si>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</si>
  <si>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</si>
  <si>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</si>
  <si>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</si>
  <si>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</si>
  <si>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</si>
  <si>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</si>
  <si>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</si>
  <si>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</si>
  <si>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</si>
  <si>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</si>
  <si>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</si>
  <si>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</si>
  <si>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</si>
  <si>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</si>
  <si>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</si>
  <si>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</si>
  <si>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</si>
  <si>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</si>
  <si>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</si>
  <si>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</si>
  <si>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</si>
  <si>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</si>
  <si>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</si>
  <si>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</si>
  <si>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</si>
  <si>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</si>
  <si>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</si>
  <si>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</si>
  <si>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</si>
  <si>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</si>
  <si>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</si>
  <si>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</si>
  <si>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</si>
  <si>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</si>
  <si>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</si>
  <si>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</si>
  <si>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</si>
  <si>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</si>
  <si>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</si>
  <si>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</si>
  <si>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</si>
  <si>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</si>
  <si>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</si>
  <si>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</si>
  <si>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</si>
  <si>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</si>
  <si>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</si>
  <si>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</si>
  <si>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</si>
  <si>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</si>
  <si>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</si>
  <si>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</si>
  <si>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</si>
  <si>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</si>
  <si>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</si>
  <si>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</si>
  <si>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</si>
  <si>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</si>
  <si>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</si>
  <si>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</si>
  <si>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</si>
  <si>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</si>
  <si>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</si>
  <si>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</si>
  <si>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</si>
  <si>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</si>
  <si>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</si>
  <si>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</si>
  <si>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</si>
  <si>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</si>
  <si>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</si>
  <si>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</si>
  <si>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</si>
  <si>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</si>
  <si>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</si>
  <si>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</si>
  <si>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</si>
  <si>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</si>
  <si>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</si>
  <si>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</si>
  <si>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</si>
  <si>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</si>
  <si>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</si>
  <si>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</si>
  <si>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</si>
  <si>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</si>
  <si>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</si>
  <si>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</si>
  <si>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</si>
  <si>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</si>
  <si>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</si>
  <si>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</si>
  <si>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</si>
  <si>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</si>
  <si>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</si>
  <si>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</si>
  <si>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</si>
  <si>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</si>
  <si>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</si>
  <si>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</si>
  <si>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</si>
  <si>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</si>
  <si>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</si>
  <si>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</si>
  <si>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</si>
  <si>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</si>
  <si>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</si>
  <si>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</si>
  <si>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</si>
  <si>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</si>
  <si>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</si>
  <si>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</si>
  <si>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</si>
  <si>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</si>
  <si>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</si>
  <si>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</si>
  <si>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</si>
  <si>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</si>
  <si>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</si>
  <si>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</si>
  <si>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</si>
  <si>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</si>
  <si>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</si>
  <si>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</si>
  <si>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</si>
  <si>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</si>
  <si>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</si>
  <si>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</si>
  <si>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</si>
  <si>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</si>
  <si>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</si>
  <si>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</si>
  <si>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</si>
  <si>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</si>
  <si>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</si>
  <si>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</si>
  <si>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</si>
  <si>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</si>
  <si>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</si>
  <si>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</si>
  <si>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</si>
  <si>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</si>
  <si>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</si>
  <si>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</si>
  <si>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</si>
  <si>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</si>
  <si>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</si>
  <si>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</si>
  <si>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</si>
  <si>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</si>
  <si>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</si>
  <si>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</si>
  <si>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</si>
  <si>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</si>
  <si>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</si>
  <si>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</si>
  <si>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</si>
  <si>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</si>
  <si>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</si>
  <si>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</si>
  <si>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</si>
  <si>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</si>
  <si>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</si>
  <si>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</si>
  <si>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</si>
  <si>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</si>
  <si>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</si>
  <si>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</si>
  <si>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</si>
  <si>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</si>
  <si>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</si>
  <si>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</si>
  <si>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</si>
  <si>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</si>
  <si>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</si>
  <si>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</si>
  <si>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</si>
  <si>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</si>
  <si>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</si>
  <si>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</si>
  <si>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</si>
  <si>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</si>
  <si>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</si>
  <si>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</si>
  <si>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</si>
  <si>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</si>
  <si>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</si>
  <si>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</si>
  <si>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</si>
  <si>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</si>
  <si>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</si>
  <si>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</si>
  <si>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</si>
  <si>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</si>
  <si>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</si>
  <si>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</si>
  <si>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</si>
  <si>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</si>
  <si>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</si>
  <si>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</si>
  <si>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</si>
  <si>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</si>
  <si>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</si>
  <si>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</si>
  <si>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</si>
  <si>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</si>
  <si>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</si>
  <si>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</si>
  <si>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</si>
  <si>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</si>
  <si>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</si>
  <si>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</si>
  <si>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</si>
  <si>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</si>
  <si>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</si>
  <si>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</si>
  <si>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</si>
  <si>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</si>
  <si>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</si>
  <si>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</si>
  <si>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</si>
  <si>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</si>
  <si>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</si>
  <si>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</si>
  <si>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</si>
  <si>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</si>
  <si>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</si>
  <si>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</si>
  <si>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</si>
  <si>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</si>
  <si>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</si>
  <si>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</si>
  <si>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</si>
  <si>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</si>
  <si>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</si>
  <si>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</si>
  <si>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</si>
  <si>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</si>
  <si>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</si>
  <si>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</si>
  <si>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</si>
  <si>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</si>
  <si>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</si>
  <si>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</si>
  <si>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</si>
  <si>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</si>
  <si>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</si>
  <si>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</si>
  <si>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</si>
  <si>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</si>
  <si>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</si>
  <si>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</si>
  <si>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</si>
  <si>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</si>
  <si>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</si>
  <si>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</si>
  <si>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</si>
  <si>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</si>
  <si>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</si>
  <si>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</si>
  <si>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</si>
  <si>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</si>
  <si>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</si>
  <si>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</si>
  <si>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</si>
  <si>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</si>
  <si>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</si>
  <si>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</si>
  <si>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</si>
  <si>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</si>
  <si>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</si>
  <si>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</si>
  <si>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</si>
  <si>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</si>
  <si>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</si>
  <si>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</si>
  <si>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</si>
  <si>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</si>
  <si>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</si>
  <si>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</si>
  <si>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</si>
  <si>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</si>
  <si>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</si>
  <si>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</si>
  <si>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</si>
  <si>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</si>
  <si>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</si>
  <si>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</si>
  <si>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</si>
  <si>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</si>
  <si>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</si>
  <si>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</si>
  <si>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</si>
  <si>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</si>
  <si>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</si>
  <si>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</si>
  <si>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</si>
  <si>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</si>
  <si>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</si>
  <si>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</si>
  <si>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</si>
  <si>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</si>
  <si>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</si>
  <si>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</si>
  <si>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</si>
  <si>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</si>
  <si>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</si>
  <si>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</si>
  <si>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</si>
  <si>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</si>
  <si>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</si>
  <si>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</si>
  <si>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</si>
  <si>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</si>
  <si>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</si>
  <si>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</si>
  <si>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</si>
  <si>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</si>
  <si>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</si>
  <si>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</si>
  <si>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</si>
  <si>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</si>
  <si>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</si>
  <si>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</si>
  <si>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</si>
  <si>
    <t>Done</t>
  </si>
  <si>
    <t>src/external/; tests/external/adapter/; tests/external/native-integration/; docs/external/native-integration.md; evidence/tb057-unmodified.json; evidence/tb057-paired-check.json; evidence/tb057-scripted-goose/; evidence/tb057-live-goose/</t>
  </si>
  <si>
    <t xml:space="preserve">Done 2026-10-20. Mode A: goose 1.55.0 (pinned binary, unmodified) calls all 10 TrustBench tools through the MCP adapter; every trace validates against TB-004 (tests/external/adapter, 4 tests). Paired runs with goose in both arms: scripted 17/17 pairs with evaluator verdicts identical to the built-in agent; live nvidia gpt-oss-20b 4/4 valid pairs (one defended attack run ended budget_exhausted, reported as measured). Mode B: goose's own Computer Controller (goose mcp computercontroller, serverInfo goose-computercontroller 1.55.0) runs unchanged behind the TrustBench MCP gateway on a synthetic-only sandbox; allow/deny recorded per call, refused calls never forwarded, server-initiated sampling/elicitation/roots refused (tests/external/native-integration, 3 tests). Unmodified: release archive digest matches GitHub's, binary byte-identical, no goose files tracked (evidence/tb057-unmodified.json). Same paired report via the website (Live page, "Agent under test") and trustbench remote --agent external_mcp, both run on the service image built from Dockerfile.service with the pinned Linux goose; all 4 reports pass scripts/check-external-paired-report.py (evidence/tb057-paired-check.json). Contract bumped to 1.1.0 (changes listed). Not covered here: network confinement and bypass tests (TB-058); only one native integration (read-only files). The public demo instance still runs the previous image until it is redeployed.
</t>
  </si>
  <si>
    <t xml:space="preserve">In progress 2026-10-20. Done: goose and every process it starts run confined (sandbox-exec on macOS, Landlock on Linux; src/external/sandbox.ts): only the episode's adapter socket and model proxy port are reachable, writes only inside the episode folder, no reads of the harness's files; goose refuses to start unconfined. Adapter and gateway sockets accept one client; calls after cancellation are refused (episode_cancelled); native-mode data sits outside the agent sandbox. Contract 1.2.0. External tests pass with goose confined. Blocker: the bypass tests (direct calls, forged/replayed tokens, unlisted tools, argument smuggling, calls after cancellation, both modes, each with a positive control), the audit check and evidence/external-authorization-report.json are being written by the project owner; the Landlock path has not yet been exercised by a test in the Linux container. Next: run those tests, then mark Completed only if every acceptance item passes.
</t>
  </si>
  <si>
    <t>docs/external/task-mapping.md; tests/external/fixtures/; evidence/tb059-task-mapping.json; evidence/tb059-scripted/; evidence/tb059-goose-live/; evidence/tb059-goose-live-retry/</t>
  </si>
  <si>
    <t xml:space="preserve">Done 2026-10-20. Every development fixture (25: the tuning groups in data/splits.json) runs end to end through goose with the unchanged evaluators: scripted dev suite (tests/external/fixtures/dev-suite.json, 26 cases, both arms) gives evaluator verdicts identical to the built-in agent in every case (evidence/tb059-scripted). Tasks reach goose through its native input (task prompt via -t, documents only as tool results through the MCP adapter); fixtures, initial state and evaluators unchanged. No holdout fixture is loaded: development runs materialize only development fixtures and the runner asserts it (sealed_fixtures_loaded 0 in every report; tested with a mixed suite and a positive control). Live pilot (nvidia gpt-oss-20b, free tier, 1 repetition): 17/25 valid, retry 6/8 valid, 24/25 fixtures with a valid live pair; TB-ATT-DOC-008 timed out at the provider twice (invalid, not counted; not a mapping limit). No task goose cannot express. Live numbers are pilot evidence, not an estimate. Fixed: a run cut off while the provider still owed an answer was counted as a valid agent timeout; it is now an invalid provider fault.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</si>
</sst>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58</v>
      </c>
      <c r="C5" s="6">
        <f>IF(A5=0,0,B5/A5)</f>
        <v>0.80555555555555558</v>
      </c>
      <c r="D5" s="5">
        <f>COUNTIFS($D$12:$D$83,"Blocked")</f>
        <v>0</v>
      </c>
      <c r="E5" s="5">
        <f>SUM($H$12:$H$83)</f>
        <v>357</v>
      </c>
      <c r="F5" s="5">
        <f>SUMIFS($H$12:$H$83,$D$12:$D$83,"&lt;&gt;Completed")</f>
        <v>99</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1</v>
      </c>
      <c r="E68" s="10" t="s">
        <v>517</v>
      </c>
      <c r="F68" s="10" t="s">
        <v>255</v>
      </c>
      <c r="G68" s="10" t="s">
        <v>921</v>
      </c>
      <c r="H68" s="18">
        <v>12</v>
      </c>
      <c r="I68" s="14"/>
      <c r="J68" s="16"/>
      <c r="K68" s="10" t="s">
        <v>877</v>
      </c>
      <c r="L68" s="10" t="s">
        <v>842</v>
      </c>
      <c r="M68" s="10" t="s">
        <v>843</v>
      </c>
      <c r="N68" s="10" t="s">
        <v>878</v>
      </c>
      <c r="O68" s="10" t="s">
        <v>844</v>
      </c>
      <c r="P68" s="10" t="s">
        <v>845</v>
      </c>
      <c r="Q68" s="10" t="s">
        <v>762</v>
      </c>
      <c r="R68" s="10" t="s">
        <v>100</v>
      </c>
      <c r="S68" s="14" t="s">
        <v>922</v>
      </c>
      <c r="T68" s="14" t="s">
        <v>923</v>
      </c>
      <c r="U68" s="10">
        <v>1</v>
      </c>
    </row>
    <row r="69" spans="1:21" ht="64" customHeight="1">
      <c r="A69" s="10" t="s">
        <v>533</v>
      </c>
      <c r="B69" s="10" t="s">
        <v>754</v>
      </c>
      <c r="C69" s="10" t="s">
        <v>774</v>
      </c>
      <c r="D69" s="14" t="s">
        <v>558</v>
      </c>
      <c r="E69" s="10" t="s">
        <v>525</v>
      </c>
      <c r="F69" s="10" t="s">
        <v>225</v>
      </c>
      <c r="G69" s="10" t="str">
        <f t="shared" si="4"/>
        <v>In Progress</v>
      </c>
      <c r="H69" s="18">
        <v>6</v>
      </c>
      <c r="I69" s="14"/>
      <c r="J69" s="16"/>
      <c r="K69" s="10" t="s">
        <v>846</v>
      </c>
      <c r="L69" s="10" t="s">
        <v>775</v>
      </c>
      <c r="M69" s="10" t="s">
        <v>776</v>
      </c>
      <c r="N69" s="10" t="s">
        <v>847</v>
      </c>
      <c r="O69" s="10" t="s">
        <v>777</v>
      </c>
      <c r="P69" s="10" t="s">
        <v>778</v>
      </c>
      <c r="Q69" s="10" t="s">
        <v>762</v>
      </c>
      <c r="R69" s="10" t="s">
        <v>223</v>
      </c>
      <c r="S69" s="14"/>
      <c r="T69" s="14" t="s">
        <v>924</v>
      </c>
      <c r="U69" s="10">
        <f t="shared" si="5"/>
        <v>0</v>
      </c>
    </row>
    <row r="70" spans="1:21" ht="64" customHeight="1">
      <c r="A70" s="10" t="s">
        <v>541</v>
      </c>
      <c r="B70" s="10" t="s">
        <v>754</v>
      </c>
      <c r="C70" s="10" t="s">
        <v>780</v>
      </c>
      <c r="D70" s="14" t="s">
        <v>1</v>
      </c>
      <c r="E70" s="10" t="s">
        <v>525</v>
      </c>
      <c r="F70" s="10" t="s">
        <v>138</v>
      </c>
      <c r="G70" s="10" t="s">
        <v>921</v>
      </c>
      <c r="H70" s="18">
        <v>5</v>
      </c>
      <c r="I70" s="14"/>
      <c r="J70" s="16"/>
      <c r="K70" s="10" t="s">
        <v>781</v>
      </c>
      <c r="L70" s="10" t="s">
        <v>782</v>
      </c>
      <c r="M70" s="10" t="s">
        <v>783</v>
      </c>
      <c r="N70" s="10" t="s">
        <v>784</v>
      </c>
      <c r="O70" s="10" t="s">
        <v>785</v>
      </c>
      <c r="P70" s="10" t="s">
        <v>786</v>
      </c>
      <c r="Q70" s="10" t="s">
        <v>762</v>
      </c>
      <c r="R70" s="10" t="s">
        <v>100</v>
      </c>
      <c r="S70" s="14" t="s">
        <v>925</v>
      </c>
      <c r="T70" s="14" t="s">
        <v>926</v>
      </c>
      <c r="U70" s="10">
        <v>1</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4</v>
      </c>
      <c r="D100" s="11">
        <f t="shared" ref="D100" si="17">COUNTIFS($B$12:$B$83,A100,$D$12:$D$83,"Not Started")</f>
        <v>7</v>
      </c>
      <c r="E100" s="11">
        <f t="shared" ref="E100" si="18">COUNTIFS($B$12:$B$83,A100,$D$12:$D$83,"In Progress")</f>
        <v>1</v>
      </c>
      <c r="F100" s="11">
        <f t="shared" ref="F100" si="19">COUNTIFS($B$12:$B$83,A100,$D$12:$D$83,"Blocked")</f>
        <v>0</v>
      </c>
      <c r="G100" s="20">
        <f t="shared" ref="G100" si="20">IF(B100=0,0,C100/B100)</f>
        <v>0.33333333333333331</v>
      </c>
      <c r="H100" s="11">
        <f t="shared" ref="H100" si="21">SUMIFS($H$12:$H$83,$B$12:$B$83,A100)</f>
        <v>72</v>
      </c>
      <c r="I100" s="11">
        <f>SUMIFS($H$12:$H$83,$B$12:$B$83,A100,$D$12:$D$83,"&lt;&gt;Completed")</f>
        <v>47</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2026-10-20T14:30:17Z</dcterms:modified>
</cp:coreProperties>
</file>