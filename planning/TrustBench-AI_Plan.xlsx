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4D573C0E-6C3A-CF45-986F-7447A225E48A}"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60" i="1" l="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<sst xmlns="http://schemas.openxmlformats.org/spreadsheetml/2006/main" count="1249" uniqueCount="905">
  <si>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</si>
  <si>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</si>
  <si>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</si>
  <si>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</si>
  <si>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</si>
  <si>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</si>
  <si>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</si>
  <si>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</si>
  <si>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</si>
  <si>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</si>
  <si>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</si>
  <si>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</si>
  <si>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</si>
  <si>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</si>
  <si>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</si>
  <si>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</si>
  <si>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</si>
  <si>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</si>
  <si>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</si>
  <si>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</si>
  <si>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</si>
  <si>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</si>
  <si>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</si>
  <si>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</si>
  <si>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</si>
  <si>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</si>
  <si>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</si>
  <si>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</si>
  <si>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</si>
  <si>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</si>
  <si>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</si>
  <si>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</si>
  <si>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</si>
  <si>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</si>
  <si>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</si>
  <si>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</si>
  <si>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</si>
  <si>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</si>
  <si>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</si>
  <si>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</si>
  <si>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</si>
  <si>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</si>
  <si>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</si>
  <si>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</si>
  <si>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</si>
  <si>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</si>
  <si>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</si>
  <si>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</si>
  <si>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</si>
  <si>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</si>
  <si>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</si>
  <si>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</si>
  <si>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</si>
  <si>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</si>
  <si>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</si>
  <si>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</si>
  <si>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</si>
  <si>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</si>
  <si>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</si>
  <si>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</si>
  <si>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</si>
  <si>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</si>
  <si>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</si>
  <si>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</si>
  <si>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</si>
  <si>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</si>
  <si>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</si>
  <si>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</si>
  <si>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</si>
  <si>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</si>
  <si>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</si>
  <si>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</si>
  <si>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</si>
  <si>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</si>
  <si>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</si>
  <si>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</si>
  <si>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</si>
  <si>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</si>
  <si>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</si>
  <si>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</si>
  <si>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</si>
  <si>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</si>
  <si>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</si>
  <si>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</si>
  <si>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</si>
  <si>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</si>
  <si>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</si>
  <si>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</si>
  <si>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</si>
  <si>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</si>
  <si>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</si>
  <si>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</si>
  <si>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</si>
  <si>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</si>
  <si>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</si>
  <si>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</si>
  <si>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</si>
  <si>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</si>
  <si>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</si>
  <si>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</si>
  <si>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</si>
  <si>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</si>
  <si>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</si>
  <si>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</si>
  <si>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</si>
  <si>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</si>
  <si>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</si>
  <si>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</si>
  <si>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</si>
  <si>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</si>
  <si>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</si>
  <si>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</si>
  <si>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</si>
  <si>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</si>
  <si>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</si>
  <si>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</si>
  <si>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</si>
  <si>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</si>
  <si>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</si>
  <si>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</si>
  <si>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</si>
  <si>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</si>
  <si>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</si>
  <si>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</si>
  <si>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</si>
  <si>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</si>
  <si>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</si>
  <si>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</si>
  <si>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</si>
  <si>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</si>
  <si>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</si>
  <si>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</si>
  <si>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</si>
  <si>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</si>
  <si>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</si>
  <si>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</si>
  <si>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</si>
  <si>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</si>
  <si>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</si>
  <si>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</si>
  <si>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</si>
  <si>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</si>
  <si>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</si>
  <si>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</si>
  <si>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</si>
  <si>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</si>
  <si>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</si>
  <si>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</si>
  <si>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</si>
  <si>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</si>
  <si>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</si>
  <si>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</si>
  <si>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</si>
  <si>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</si>
  <si>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</si>
  <si>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</si>
  <si>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</si>
  <si>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</si>
  <si>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</si>
  <si>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</si>
  <si>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</si>
  <si>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</si>
  <si>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</si>
  <si>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</si>
  <si>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</si>
  <si>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</si>
  <si>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</si>
  <si>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</si>
  <si>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</si>
  <si>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</si>
  <si>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</si>
  <si>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</si>
  <si>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</si>
  <si>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</si>
  <si>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</si>
  <si>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</si>
  <si>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</si>
  <si>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</si>
  <si>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</si>
  <si>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</si>
  <si>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</si>
  <si>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</si>
  <si>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</si>
  <si>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</si>
  <si>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</si>
  <si>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</si>
  <si>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</si>
  <si>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</si>
  <si>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</si>
  <si>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</si>
  <si>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</si>
  <si>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</si>
  <si>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</si>
  <si>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</si>
  <si>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</si>
  <si>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</si>
  <si>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</si>
  <si>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</si>
  <si>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</si>
  <si>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</si>
  <si>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</si>
  <si>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</si>
  <si>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</si>
  <si>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</si>
  <si>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</si>
  <si>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</si>
  <si>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</si>
  <si>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</si>
  <si>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</si>
  <si>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</si>
  <si>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</si>
  <si>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</si>
  <si>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</si>
  <si>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</si>
  <si>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</si>
  <si>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</si>
  <si>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</si>
  <si>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</si>
  <si>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</si>
  <si>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</si>
  <si>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</si>
  <si>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</si>
  <si>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</si>
  <si>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</si>
  <si>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</si>
  <si>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</si>
  <si>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</si>
  <si>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</si>
  <si>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</si>
  <si>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</si>
  <si>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</si>
  <si>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</si>
  <si>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</si>
  <si>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</si>
  <si>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</si>
  <si>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</si>
  <si>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</si>
  <si>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</si>
  <si>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</si>
  <si>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</si>
  <si>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</si>
  <si>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</si>
  <si>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</si>
  <si>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</si>
  <si>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</si>
  <si>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</si>
  <si>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</si>
  <si>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</si>
  <si>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</si>
  <si>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</si>
  <si>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</si>
  <si>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</si>
  <si>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</si>
  <si>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</si>
  <si>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</si>
  <si>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</si>
  <si>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</si>
  <si>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</si>
  <si>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</si>
  <si>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</si>
  <si>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</si>
  <si>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</si>
  <si>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</si>
  <si>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</si>
  <si>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</si>
  <si>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</si>
  <si>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</si>
  <si>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</si>
  <si>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</si>
  <si>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</si>
  <si>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</si>
  <si>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</si>
  <si>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</si>
  <si>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</si>
  <si>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</si>
  <si>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</si>
  <si>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</si>
  <si>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</si>
  <si>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</si>
  <si>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</si>
  <si>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</si>
  <si>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</si>
  <si>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</si>
  <si>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</si>
  <si>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</si>
  <si>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</si>
  <si>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</si>
  <si>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</si>
  <si>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</si>
  <si>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</si>
  <si>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</si>
  <si>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</si>
  <si>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</si>
  <si>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</si>
  <si>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</si>
  <si>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</si>
  <si>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</si>
  <si>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</si>
  <si>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</si>
  <si>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</si>
  <si>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</si>
  <si>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</si>
  <si>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</si>
  <si>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</si>
  <si>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</si>
  <si>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</si>
  <si>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</si>
  <si>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</si>
  <si>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</si>
  <si>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</si>
  <si>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</si>
  <si>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</si>
  <si>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</si>
  <si>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</si>
  <si>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</si>
  <si>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</si>
  <si>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</si>
  <si>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</si>
  <si>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</si>
  <si>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</si>
  <si>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</si>
  <si>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</si>
  <si>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</si>
  <si>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</si>
  <si>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</si>
  <si>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</si>
  <si>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</si>
  <si>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</si>
  <si>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</si>
  <si>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</si>
  <si>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</si>
  <si>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</si>
  <si>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</si>
  <si>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</si>
  <si>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</si>
  <si>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</si>
  <si>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</si>
  <si>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</si>
  <si>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</si>
  <si>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</si>
  <si>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</si>
  <si>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</si>
  <si>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</si>
  <si>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</si>
  <si>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</si>
  <si>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</si>
  <si>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</si>
  <si>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</si>
  <si>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</si>
  <si>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</si>
  <si>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</si>
  <si>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</si>
  <si>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</si>
  <si>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</si>
  <si>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</si>
  <si>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</si>
  <si>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</si>
  <si>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</si>
  <si>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</si>
  <si>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</si>
  <si>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</si>
  <si>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</si>
  <si>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</si>
  <si>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</si>
  <si>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</si>
  <si>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</si>
  <si>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</si>
  <si>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</si>
  <si>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</si>
  <si>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</si>
  <si>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</si>
  <si>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</si>
  <si>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</si>
  <si>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</si>
  <si>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</si>
  <si>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</si>
  <si>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</si>
  <si>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</si>
  <si>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</si>
  <si>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</si>
  <si>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</si>
  <si>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</si>
  <si>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</si>
  <si>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</si>
  <si>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</si>
  <si>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</si>
  <si>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</si>
  <si>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</si>
  <si>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</si>
  <si>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</si>
  <si>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</si>
  <si>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</si>
  <si>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</si>
  <si>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</si>
  <si>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</si>
  <si>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</si>
  <si>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</si>
  <si>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</si>
  <si>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</si>
  <si>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</si>
  <si>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</si>
  <si>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</si>
  <si>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</si>
  <si>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</si>
  <si>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</si>
  <si>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</si>
  <si>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</si>
  <si>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</si>
  <si>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</si>
  <si>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</si>
  <si>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</si>
  <si>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</si>
  <si>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</si>
  <si>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</si>
  <si>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</si>
  <si>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</si>
  <si>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</si>
  <si>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</si>
  <si>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</si>
  <si>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</si>
  <si>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</si>
  <si>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</si>
  <si>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</si>
  <si>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</si>
  <si>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</si>
  <si>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</si>
  <si>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</si>
  <si>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</si>
  <si>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</si>
  <si>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</si>
  <si>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</si>
  <si>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</si>
  <si>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</si>
  <si>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</si>
  <si>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</si>
  <si>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</si>
  <si>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</si>
  <si>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</si>
  <si>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</si>
  <si>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</si>
  <si>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</si>
  <si>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</si>
  <si>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</si>
  <si>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</si>
  <si>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</si>
  <si>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</si>
  <si>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</si>
  <si>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</si>
  <si>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</si>
  <si>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</si>
  <si>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</si>
  <si>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</si>
  <si>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</si>
  <si>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</si>
  <si>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</si>
  <si>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</si>
  <si>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</si>
  <si>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</si>
  <si>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</si>
  <si>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</si>
  <si>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</si>
  <si>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</si>
  <si>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</si>
  <si>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</si>
  <si>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</si>
  <si>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</si>
  <si>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</si>
  <si>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</si>
  <si>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</si>
  <si>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</si>
  <si>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</si>
  <si>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</si>
  <si>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</si>
  <si>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</si>
  <si>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</si>
  <si>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</si>
  <si>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</si>
  <si>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</si>
  <si>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</si>
  <si>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</si>
  <si>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</si>
  <si>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</si>
  <si>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</si>
  <si>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</si>
  <si>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</si>
  <si>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</si>
  <si>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</si>
  <si>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</si>
  <si>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</si>
  <si>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</si>
  <si>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</si>
  <si>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</si>
  <si>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</si>
  <si>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</si>
  <si>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</si>
  <si>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</si>
  <si>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</si>
  <si>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</si>
  <si>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</si>
  <si>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</si>
  <si>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</si>
  <si>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</si>
  <si>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</si>
  <si>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</si>
  <si>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</si>
  <si>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</si>
  <si>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</si>
  <si>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</si>
  <si>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</si>
  <si>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</si>
  <si>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</si>
  <si>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</si>
  <si>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</si>
  <si>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</si>
  <si>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</si>
  <si>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</si>
  <si>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</si>
  <si>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</si>
  <si>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</si>
  <si>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</si>
  <si>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</si>
  <si>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</si>
  <si>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</si>
  <si>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</si>
  <si>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</si>
  <si>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</si>
  <si>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</si>
  <si>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</si>
  <si>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</si>
  <si>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</si>
  <si>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</si>
  <si>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</si>
  <si>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</si>
  <si>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</si>
  <si>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</si>
  <si>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</si>
  <si>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</si>
  <si>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</si>
  <si>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</si>
  <si>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</si>
  <si>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</si>
  <si>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</si>
  <si>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</si>
  <si>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</si>
  <si>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</si>
  <si>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</si>
  <si>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</si>
  <si>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</si>
  <si>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</si>
  <si>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</si>
  <si>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</si>
  <si>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</si>
  <si>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</si>
  <si>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</si>
  <si>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</si>
  <si>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</si>
  <si>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</si>
  <si>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</si>
  <si>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</si>
  <si>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</si>
  <si>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</si>
  <si>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</si>
  <si>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</si>
  <si>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</si>
  <si>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</si>
  <si>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</si>
  <si>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</si>
  <si>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</si>
  <si>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</si>
  <si>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</si>
  <si>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</si>
  <si>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</si>
  <si>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</si>
  <si>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</si>
  <si>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</si>
  <si>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</si>
  <si>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</si>
  <si>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</si>
  <si>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</si>
  <si>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</si>
  <si>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</si>
  <si>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</si>
  <si>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</si>
  <si>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</si>
  <si>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</si>
  <si>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</si>
  <si>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</si>
  <si>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</si>
  <si>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</si>
  <si>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</si>
  <si>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</si>
  <si>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</si>
  <si>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</si>
  <si>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</si>
  <si>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</si>
  <si>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</si>
  <si>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</si>
  <si>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</si>
  <si>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</si>
  <si>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</si>
  <si>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</si>
  <si>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</si>
  <si>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</si>
  <si>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</si>
  <si>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</si>
  <si>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</si>
  <si>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</si>
  <si>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</si>
  <si>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</si>
  <si>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</si>
  <si>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</si>
  <si>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</si>
  <si>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</si>
  <si>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</si>
  <si>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</si>
  <si>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</si>
  <si>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</si>
  <si>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</si>
  <si>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</si>
  <si>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</si>
  <si>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</si>
  <si>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</si>
  <si>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</si>
  <si>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</si>
  <si>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</si>
  <si>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</si>
  <si>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</si>
  <si>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</si>
  <si>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</si>
  <si>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</si>
  <si>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</si>
  <si>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</si>
  <si>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</si>
  <si>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</si>
  <si>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</si>
  <si>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</si>
  <si>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</si>
  <si>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</si>
  <si>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</si>
  <si>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</si>
  <si>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</si>
  <si>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</si>
  <si>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</si>
  <si>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</si>
  <si>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</si>
  <si>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</si>
  <si>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</si>
  <si>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</si>
  <si>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</si>
  <si>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</si>
  <si>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</si>
  <si>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</si>
  <si>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</si>
  <si>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</si>
  <si>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</si>
  <si>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</si>
  <si>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</si>
  <si>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</si>
  <si>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</si>
  <si>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</si>
  <si>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</si>
  <si>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</si>
  <si>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</si>
  <si>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</si>
  <si>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</si>
  <si>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</si>
  <si>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</si>
  <si>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</si>
  <si>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</si>
  <si>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</si>
  <si>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</si>
  <si>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</si>
  <si>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</si>
  <si>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</si>
  <si>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</si>
  <si>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</si>
  <si>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</si>
  <si>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</si>
  <si>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</si>
  <si>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</si>
  <si>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</si>
  <si>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</si>
  <si>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</si>
  <si>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</si>
  <si>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</si>
  <si>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</si>
  <si>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</si>
  <si>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</si>
  <si>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</si>
  <si>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</si>
  <si>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</si>
  <si>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</si>
  <si>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</si>
  <si>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</si>
  <si>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</si>
  <si>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</si>
  <si>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</si>
  <si>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</si>
  <si>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</si>
  <si>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</si>
  <si>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</si>
  <si>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</si>
  <si>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</si>
  <si>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</si>
  <si>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</si>
  <si>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</si>
  <si>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</si>
  <si>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</si>
  <si>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</si>
  <si>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</si>
  <si>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</si>
  <si>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</si>
  <si>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</si>
  <si>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</si>
  <si>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</si>
  <si>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</si>
  <si>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</si>
  <si>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</si>
  <si>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</si>
  <si>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</si>
  <si>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</si>
  <si>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</si>
  <si>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</si>
  <si>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</si>
  <si>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</si>
  <si>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</si>
  <si>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</si>
  <si>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</si>
  <si>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</si>
  <si>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</si>
  <si>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</si>
  <si>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</si>
  <si>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</si>
  <si>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</si>
  <si>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</si>
  <si>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</si>
  <si>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</si>
  <si>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</si>
  <si>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</si>
  <si>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</si>
  <si>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</si>
  <si>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</si>
  <si>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</si>
  <si>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</si>
  <si>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</si>
  <si>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</si>
  <si>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</si>
  <si>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</si>
  <si>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</si>
  <si>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</si>
  <si>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</si>
  <si>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</si>
  <si>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</si>
  <si>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</si>
  <si>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</si>
  <si>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</si>
  <si>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</si>
  <si>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</si>
  <si>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</si>
  <si>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</si>
  <si>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</si>
  <si>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</si>
  <si>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</si>
  <si>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</si>
  <si>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</si>
  <si>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</si>
  <si>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</si>
  <si>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</si>
  <si>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</si>
  <si>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</si>
  <si>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</si>
  <si>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</si>
  <si>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</si>
  <si>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</si>
  <si>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</si>
  <si>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</si>
  <si>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</si>
  <si>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</si>
  <si>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</si>
  <si>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</si>
  <si>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</si>
  <si>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</si>
  <si>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</si>
  <si>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</si>
  <si>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</si>
  <si>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</si>
  <si>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</si>
  <si>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</si>
  <si>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</si>
  <si>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</si>
  <si>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</si>
  <si>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</si>
  <si>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</si>
  <si>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</si>
  <si>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</si>
  <si>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</si>
  <si>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</si>
  <si>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</si>
  <si>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</si>
  <si>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</si>
  <si>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</si>
  <si>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</si>
  <si>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</si>
  <si>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</si>
  <si>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</si>
  <si>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</si>
  <si>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</si>
  <si>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</si>
  <si>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</si>
  <si>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</si>
  <si>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</si>
  <si>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</si>
  <si>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</si>
  <si>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</si>
  <si>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</si>
  <si>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</si>
  <si>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</si>
  <si>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</si>
  <si>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</si>
  <si>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</si>
  <si>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</si>
  <si>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</si>
  <si>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</si>
  <si>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</si>
  <si>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</si>
  <si>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</si>
  <si>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</si>
  <si>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</si>
  <si>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</si>
  <si>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</si>
  <si>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</si>
  <si>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</si>
  <si>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</si>
  <si>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</si>
  <si>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</si>
  <si>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</si>
  <si>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</si>
  <si>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</si>
  <si>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</si>
  <si>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</si>
  <si>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</si>
  <si>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</si>
  <si>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</si>
  <si>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</si>
  <si>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</si>
  <si>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</si>
  <si>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</si>
  <si>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</si>
  <si>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</si>
  <si>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</si>
  <si>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</si>
  <si>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</si>
  <si>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</si>
  <si>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</si>
  <si>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</si>
  <si>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</si>
  <si>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</si>
  <si>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</si>
  <si>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</si>
  <si>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</si>
  <si>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</si>
  <si>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</si>
  <si>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</si>
  <si>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</si>
  <si>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</si>
  <si>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</si>
  <si>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</si>
  <si>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</si>
  <si>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</si>
  <si>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</si>
  <si>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</si>
  <si>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</si>
  <si>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</si>
  <si>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</si>
  <si>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</si>
  <si>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</si>
  <si>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</si>
  <si>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</si>
  <si>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</si>
  <si>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</si>
  <si>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</si>
  <si>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</si>
  <si>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</si>
  <si>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</si>
  <si>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</si>
  <si>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</si>
  <si>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</si>
  <si>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</si>
  <si>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</si>
  <si>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</si>
  <si>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</si>
  <si>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</si>
  <si>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</si>
  <si>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</si>
  <si>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</si>
  <si>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</si>
  <si>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</si>
  <si>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</si>
  <si>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</si>
  <si>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</si>
  <si>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</si>
  <si>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</si>
  <si>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</si>
  <si>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</si>
  <si>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'fewer attacker wins on these runs', development data stated).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</si>
</sst>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58" activePane="bottomRight" state="frozen"/>
      <selection pane="topRight"/>
      <selection pane="bottomLeft"/>
      <selection pane="bottomRight" activeCell="D53" sqref="D5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48</v>
      </c>
      <c r="C5" s="6">
        <f>IF(A5=0,0,B5/A5)</f>
        <v>0.66666666666666663</v>
      </c>
      <c r="D5" s="5">
        <f>COUNTIFS($D$12:$D$83,"Blocked")</f>
        <v>0</v>
      </c>
      <c r="E5" s="5">
        <f>SUM($H$12:$H$83)</f>
        <v>357</v>
      </c>
      <c r="F5" s="5">
        <f>SUMIFS($H$12:$H$83,$D$12:$D$83,"&lt;&gt;Completed")</f>
        <v>140</v>
      </c>
      <c r="G5" s="6">
        <f>COUNTIFS($Q$12:$Q$83,"Core",$D$12:$D$83,"Completed")/COUNTIFS($Q$12:$Q$83,"Core")</f>
        <v>0.88888888888888884</v>
      </c>
      <c r="H5" s="7">
        <f>IF(B7&gt;0,SUMIFS($H$12:$H$83,$Q$12:$Q$83,"Core",$D$12:$D$83,"&lt;&gt;Completed")/B7,"Set hours/week")</f>
        <v>1.3333333333333333</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288</v>
      </c>
      <c r="E60" s="12" t="s">
        <v>405</v>
      </c>
      <c r="F60" s="12" t="s">
        <v>454</v>
      </c>
      <c r="G60" s="12" t="str">
        <f t="shared" si="2"/>
        <v>Ready</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1</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2026-10-18T03:09:00Z</dcterms:modified>
</cp:coreProperties>
</file>