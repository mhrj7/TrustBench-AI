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FA9C238B-D3AB-594E-B924-E0185578B094}" xr6:coauthVersionLast="47" xr6:coauthVersionMax="47" xr10:uidLastSave="{00000000-0000-0000-0000-000000000000}"/>
  <bookViews>
    <workbookView xWindow="-21600" yWindow="-7640" windowWidth="21600" windowHeight="37800" xr2:uid="{00000000-000D-0000-FFFF-FFFF00000000}"/>
  </bookViews>
  <sheets>
    <sheet name="TrustBench-AI"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U74" i="1"/>
  <c r="G75" i="1" s="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J99" i="1" s="1"/>
  <c r="G48" i="1"/>
  <c r="J97" i="1" s="1"/>
  <c r="G46" i="1"/>
  <c r="G43" i="1"/>
  <c r="G100" i="1"/>
  <c r="G74" i="1"/>
  <c r="G35" i="1"/>
  <c r="J94" i="1" s="1"/>
  <c r="G97" i="1"/>
  <c r="G93" i="1"/>
  <c r="G92" i="1"/>
  <c r="G95" i="1"/>
  <c r="G98" i="1"/>
  <c r="C5" i="1"/>
  <c r="G94"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<sst xmlns="http://schemas.openxmlformats.org/spreadsheetml/2006/main" count="1287" uniqueCount="938">
  <si>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</si>
  <si>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</si>
  <si>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</si>
  <si>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</si>
  <si>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</si>
  <si>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</si>
  <si>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</si>
  <si>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</si>
  <si>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</si>
  <si>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</si>
  <si>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</si>
  <si>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</si>
  <si>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</si>
  <si>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</si>
  <si>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</si>
  <si>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</si>
  <si>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</si>
  <si>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</si>
  <si>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</si>
  <si>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</si>
  <si>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</si>
  <si>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</si>
  <si>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</si>
  <si>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</si>
  <si>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</si>
  <si>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</si>
  <si>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</si>
  <si>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</si>
  <si>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</si>
  <si>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</si>
  <si>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</si>
  <si>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</si>
  <si>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</si>
  <si>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</si>
  <si>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</si>
  <si>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</si>
  <si>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</si>
  <si>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</si>
  <si>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</si>
  <si>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</si>
  <si>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</si>
  <si>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</si>
  <si>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</si>
  <si>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</si>
  <si>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</si>
  <si>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</si>
  <si>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</si>
  <si>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</si>
  <si>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</si>
  <si>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</si>
  <si>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</si>
  <si>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</si>
  <si>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</si>
  <si>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</si>
  <si>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</si>
  <si>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</si>
  <si>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</si>
  <si>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</si>
  <si>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</si>
  <si>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</si>
  <si>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</si>
  <si>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</si>
  <si>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</si>
  <si>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</si>
  <si>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</si>
  <si>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</si>
  <si>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</si>
  <si>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</si>
  <si>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</si>
  <si>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</si>
  <si>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</si>
  <si>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</si>
  <si>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</si>
  <si>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</si>
  <si>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</si>
  <si>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</si>
  <si>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</si>
  <si>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</si>
  <si>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</si>
  <si>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</si>
  <si>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</si>
  <si>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</si>
  <si>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</si>
  <si>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</si>
  <si>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</si>
  <si>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</si>
  <si>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</si>
  <si>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</si>
  <si>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</si>
  <si>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</si>
  <si>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</si>
  <si>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</si>
  <si>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</si>
  <si>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</si>
  <si>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</si>
  <si>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</si>
  <si>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</si>
  <si>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</si>
  <si>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</si>
  <si>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</si>
  <si>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</si>
  <si>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</si>
  <si>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</si>
  <si>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</si>
  <si>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</si>
  <si>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</si>
  <si>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</si>
  <si>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</si>
  <si>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</si>
  <si>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</si>
  <si>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</si>
  <si>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</si>
  <si>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</si>
  <si>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</si>
  <si>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</si>
  <si>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</si>
  <si>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</si>
  <si>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</si>
  <si>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</si>
  <si>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</si>
  <si>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</si>
  <si>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</si>
  <si>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</si>
  <si>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</si>
  <si>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</si>
  <si>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</si>
  <si>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</si>
  <si>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</si>
  <si>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</si>
  <si>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</si>
  <si>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</si>
  <si>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</si>
  <si>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</si>
  <si>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</si>
  <si>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</si>
  <si>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</si>
  <si>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</si>
  <si>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</si>
  <si>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</si>
  <si>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</si>
  <si>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</si>
  <si>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</si>
  <si>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</si>
  <si>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</si>
  <si>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</si>
  <si>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</si>
  <si>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</si>
  <si>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</si>
  <si>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</si>
  <si>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</si>
  <si>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</si>
  <si>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</si>
  <si>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</si>
  <si>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</si>
  <si>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</si>
  <si>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</si>
  <si>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</si>
  <si>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</si>
  <si>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</si>
  <si>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</si>
  <si>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</si>
  <si>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</si>
  <si>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</si>
  <si>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</si>
  <si>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</si>
  <si>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</si>
  <si>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</si>
  <si>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</si>
  <si>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</si>
  <si>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</si>
  <si>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</si>
  <si>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</si>
  <si>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</si>
  <si>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</si>
  <si>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</si>
  <si>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</si>
  <si>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</si>
  <si>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</si>
  <si>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</si>
  <si>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</si>
  <si>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</si>
  <si>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</si>
  <si>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</si>
  <si>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</si>
  <si>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</si>
  <si>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</si>
  <si>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</si>
  <si>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</si>
  <si>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</si>
  <si>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</si>
  <si>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</si>
  <si>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</si>
  <si>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</si>
  <si>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</si>
  <si>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</si>
  <si>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</si>
  <si>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</si>
  <si>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</si>
  <si>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</si>
  <si>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</si>
  <si>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</si>
  <si>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</si>
  <si>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</si>
  <si>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</si>
  <si>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</si>
  <si>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</si>
  <si>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</si>
  <si>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</si>
  <si>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</si>
  <si>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</si>
  <si>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</si>
  <si>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</si>
  <si>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</si>
  <si>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</si>
  <si>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</si>
  <si>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</si>
  <si>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</si>
  <si>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</si>
  <si>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</si>
  <si>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</si>
  <si>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</si>
  <si>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</si>
  <si>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</si>
  <si>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</si>
  <si>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</si>
  <si>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</si>
  <si>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</si>
  <si>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</si>
  <si>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</si>
  <si>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</si>
  <si>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</si>
  <si>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</si>
  <si>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</si>
  <si>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</si>
  <si>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</si>
  <si>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</si>
  <si>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</si>
  <si>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</si>
  <si>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</si>
  <si>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</si>
  <si>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</si>
  <si>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</si>
  <si>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</si>
  <si>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</si>
  <si>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</si>
  <si>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</si>
  <si>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</si>
  <si>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</si>
  <si>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</si>
  <si>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</si>
  <si>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</si>
  <si>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</si>
  <si>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</si>
  <si>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</si>
  <si>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</si>
  <si>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</si>
  <si>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</si>
  <si>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</si>
  <si>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</si>
  <si>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</si>
  <si>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</si>
  <si>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</si>
  <si>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</si>
  <si>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</si>
  <si>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</si>
  <si>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</si>
  <si>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</si>
  <si>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</si>
  <si>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</si>
  <si>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</si>
  <si>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</si>
  <si>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</si>
  <si>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</si>
  <si>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</si>
  <si>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</si>
  <si>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</si>
  <si>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</si>
  <si>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</si>
  <si>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</si>
  <si>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</si>
  <si>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</si>
  <si>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</si>
  <si>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</si>
  <si>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</si>
  <si>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</si>
  <si>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</si>
  <si>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</si>
  <si>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</si>
  <si>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</si>
  <si>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</si>
  <si>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</si>
  <si>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</si>
  <si>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</si>
  <si>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</si>
  <si>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</si>
  <si>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</si>
  <si>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</si>
  <si>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</si>
  <si>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</si>
  <si>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</si>
  <si>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</si>
  <si>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</si>
  <si>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</si>
  <si>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</si>
  <si>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</si>
  <si>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</si>
  <si>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</si>
  <si>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</si>
  <si>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</si>
  <si>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</si>
  <si>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</si>
  <si>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</si>
  <si>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</si>
  <si>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</si>
  <si>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</si>
  <si>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</si>
  <si>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</si>
  <si>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</si>
  <si>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</si>
  <si>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</si>
  <si>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</si>
  <si>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</si>
  <si>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</si>
  <si>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</si>
  <si>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</si>
  <si>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</si>
  <si>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</si>
  <si>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</si>
  <si>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</si>
  <si>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</si>
  <si>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</si>
  <si>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</si>
  <si>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</si>
  <si>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</si>
  <si>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</si>
  <si>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</si>
  <si>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</si>
  <si>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</si>
  <si>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</si>
  <si>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</si>
  <si>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</si>
  <si>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</si>
  <si>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</si>
  <si>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</si>
  <si>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</si>
  <si>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</si>
  <si>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</si>
  <si>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</si>
  <si>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</si>
  <si>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</si>
  <si>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</si>
  <si>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</si>
  <si>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</si>
  <si>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</si>
  <si>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</si>
  <si>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</si>
  <si>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</si>
  <si>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</si>
  <si>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</si>
  <si>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</si>
  <si>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</si>
  <si>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</si>
  <si>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</si>
  <si>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</si>
  <si>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</si>
  <si>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</si>
  <si>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</si>
  <si>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</si>
  <si>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</si>
  <si>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</si>
  <si>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</si>
  <si>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</si>
  <si>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</si>
  <si>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</si>
  <si>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</si>
  <si>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</si>
  <si>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</si>
  <si>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</si>
  <si>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</si>
  <si>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</si>
  <si>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</si>
  <si>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</si>
  <si>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</si>
  <si>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</si>
  <si>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</si>
  <si>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</si>
  <si>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</si>
  <si>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</si>
  <si>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</si>
  <si>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</si>
  <si>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</si>
  <si>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</si>
  <si>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</si>
  <si>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</si>
  <si>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</si>
  <si>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</si>
  <si>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</si>
  <si>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</si>
  <si>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</si>
  <si>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</si>
  <si>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</si>
  <si>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</si>
  <si>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</si>
  <si>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</si>
  <si>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</si>
  <si>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</si>
  <si>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</si>
  <si>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</si>
  <si>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</si>
  <si>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</si>
  <si>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</si>
  <si>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</si>
  <si>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</si>
  <si>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</si>
  <si>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</si>
  <si>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</si>
  <si>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</si>
  <si>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</si>
  <si>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</si>
  <si>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</si>
  <si>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</si>
  <si>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</si>
  <si>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</si>
  <si>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</si>
  <si>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</si>
  <si>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</si>
  <si>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</si>
  <si>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</si>
  <si>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</si>
  <si>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</si>
  <si>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</si>
  <si>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</si>
  <si>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</si>
  <si>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</si>
  <si>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</si>
  <si>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</si>
  <si>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</si>
  <si>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</si>
  <si>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</si>
  <si>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</si>
  <si>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</si>
  <si>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</si>
  <si>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</si>
  <si>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</si>
  <si>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</si>
  <si>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</si>
  <si>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</si>
  <si>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</si>
  <si>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</si>
  <si>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</si>
  <si>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</si>
  <si>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</si>
  <si>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</si>
  <si>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</si>
  <si>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</si>
  <si>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</si>
  <si>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</si>
  <si>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</si>
  <si>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</si>
  <si>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</si>
  <si>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</si>
  <si>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</si>
  <si>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</si>
  <si>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</si>
  <si>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</si>
  <si>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</si>
  <si>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</si>
  <si>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</si>
  <si>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</si>
  <si>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</si>
  <si>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</si>
  <si>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</si>
  <si>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</si>
  <si>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</si>
  <si>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</si>
  <si>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</si>
  <si>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</si>
  <si>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</si>
  <si>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</si>
  <si>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</si>
  <si>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</si>
  <si>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</si>
  <si>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</si>
  <si>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</si>
  <si>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</si>
  <si>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</si>
  <si>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</si>
  <si>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</si>
  <si>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</si>
  <si>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</si>
  <si>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</si>
  <si>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</si>
  <si>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</si>
  <si>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</si>
  <si>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</si>
  <si>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</si>
  <si>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</si>
  <si>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</si>
  <si>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</si>
  <si>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</si>
  <si>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</si>
  <si>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</si>
  <si>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</si>
  <si>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</si>
  <si>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</si>
  <si>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</si>
  <si>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</si>
  <si>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</si>
  <si>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</si>
  <si>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</si>
  <si>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</si>
  <si>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</si>
  <si>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</si>
  <si>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</si>
  <si>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</si>
  <si>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</si>
  <si>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</si>
  <si>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</si>
  <si>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</si>
  <si>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</si>
  <si>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</si>
  <si>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</si>
  <si>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</si>
  <si>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</si>
  <si>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</si>
  <si>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</si>
  <si>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</si>
  <si>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</si>
  <si>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</si>
  <si>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</si>
  <si>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</si>
  <si>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</si>
  <si>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</si>
  <si>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</si>
  <si>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</si>
  <si>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</si>
  <si>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</si>
  <si>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</si>
  <si>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</si>
  <si>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</si>
  <si>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</si>
  <si>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</si>
  <si>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</si>
  <si>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</si>
  <si>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</si>
  <si>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</si>
  <si>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</si>
  <si>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</si>
  <si>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</si>
  <si>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</si>
  <si>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</si>
  <si>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</si>
  <si>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</si>
  <si>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</si>
  <si>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</si>
  <si>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</si>
  <si>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</si>
  <si>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</si>
  <si>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</si>
  <si>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</si>
  <si>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</si>
  <si>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</si>
  <si>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</si>
  <si>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</si>
  <si>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</si>
  <si>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</si>
  <si>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</si>
  <si>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</si>
  <si>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</si>
  <si>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</si>
  <si>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</si>
  <si>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</si>
  <si>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</si>
  <si>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</si>
  <si>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</si>
  <si>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</si>
  <si>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</si>
  <si>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</si>
  <si>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</si>
  <si>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</si>
  <si>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</si>
  <si>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</si>
  <si>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</si>
  <si>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</si>
  <si>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</si>
  <si>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</si>
  <si>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</si>
  <si>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</si>
  <si>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</si>
  <si>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</si>
  <si>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</si>
  <si>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</si>
  <si>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</si>
  <si>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</si>
  <si>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</si>
  <si>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</si>
  <si>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</si>
  <si>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</si>
  <si>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</si>
  <si>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</si>
  <si>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</si>
  <si>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</si>
  <si>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</si>
  <si>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</si>
  <si>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</si>
  <si>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</si>
  <si>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</si>
  <si>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</si>
  <si>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</si>
  <si>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</si>
  <si>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</si>
  <si>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</si>
  <si>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</si>
  <si>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</si>
  <si>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</si>
  <si>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</si>
  <si>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</si>
  <si>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</si>
  <si>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</si>
  <si>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</si>
  <si>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</si>
  <si>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</si>
  <si>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</si>
  <si>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</si>
  <si>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</si>
  <si>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</si>
  <si>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</si>
  <si>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</si>
  <si>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</si>
  <si>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</si>
  <si>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</si>
  <si>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</si>
  <si>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</si>
  <si>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</si>
  <si>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</si>
  <si>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</si>
  <si>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</si>
  <si>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</si>
  <si>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</si>
  <si>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</si>
  <si>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</si>
  <si>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</si>
  <si>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</si>
  <si>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</si>
  <si>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</si>
  <si>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</si>
  <si>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</si>
  <si>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</si>
  <si>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</si>
  <si>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</si>
  <si>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</si>
  <si>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</si>
  <si>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</si>
  <si>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</si>
  <si>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</si>
  <si>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</si>
  <si>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</si>
  <si>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</si>
  <si>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</si>
  <si>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</si>
  <si>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</si>
  <si>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</si>
  <si>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</si>
  <si>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</si>
  <si>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</si>
  <si>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</si>
  <si>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</si>
  <si>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</si>
  <si>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</si>
  <si>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</si>
  <si>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</si>
  <si>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</si>
  <si>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</si>
  <si>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</si>
  <si>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</si>
  <si>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</si>
  <si>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</si>
  <si>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</si>
  <si>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</si>
  <si>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</si>
  <si>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</si>
  <si>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</si>
  <si>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</si>
  <si>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</si>
  <si>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</si>
  <si>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</si>
  <si>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</si>
  <si>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</si>
  <si>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</si>
  <si>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</si>
  <si>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</si>
  <si>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</si>
  <si>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</si>
  <si>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</si>
  <si>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</si>
  <si>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</si>
  <si>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</si>
  <si>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</si>
  <si>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</si>
  <si>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</si>
  <si>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</si>
  <si>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</si>
  <si>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</si>
  <si>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</si>
  <si>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</si>
  <si>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</si>
  <si>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</si>
  <si>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</si>
  <si>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</si>
  <si>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</si>
  <si>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</si>
  <si>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</si>
  <si>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</si>
  <si>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</si>
  <si>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</si>
  <si>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</si>
  <si>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</si>
  <si>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</si>
  <si>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</si>
  <si>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</si>
  <si>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</si>
  <si>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</si>
  <si>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</si>
  <si>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</si>
  <si>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</si>
  <si>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</si>
  <si>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</si>
  <si>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</si>
  <si>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</si>
  <si>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</si>
  <si>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</si>
  <si>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</si>
  <si>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</si>
  <si>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</si>
  <si>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</si>
  <si>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</si>
  <si>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</si>
  <si>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</si>
  <si>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</si>
  <si>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</si>
  <si>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</si>
  <si>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</si>
  <si>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</si>
  <si>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</si>
  <si>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</si>
  <si>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</si>
  <si>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</si>
  <si>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</si>
  <si>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</si>
  <si>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</si>
  <si>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</si>
  <si>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</si>
  <si>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</si>
  <si>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</si>
  <si>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</si>
  <si>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</si>
  <si>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</si>
  <si>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</si>
  <si>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</si>
  <si>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</si>
  <si>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</si>
  <si>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</si>
  <si>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</si>
  <si>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</si>
  <si>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</si>
  <si>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</si>
  <si>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</si>
  <si>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</si>
  <si>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</si>
  <si>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</si>
  <si>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</si>
  <si>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</si>
  <si>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</si>
  <si>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</si>
  <si>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</si>
  <si>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</si>
  <si>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</si>
  <si>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</si>
  <si>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</si>
  <si>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</si>
  <si>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</si>
  <si>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</si>
  <si>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</si>
  <si>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</si>
  <si>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</si>
  <si>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</si>
  <si>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</si>
  <si>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</si>
  <si>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</si>
  <si>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</si>
  <si>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</si>
  <si>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</si>
  <si>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</si>
  <si>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</si>
  <si>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</si>
  <si>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</si>
  <si>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</si>
  <si>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</si>
  <si>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</si>
  <si>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</si>
  <si>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</si>
  <si>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</si>
  <si>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</si>
  <si>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</si>
  <si>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</si>
  <si>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</si>
  <si>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</si>
  <si>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</si>
  <si>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</si>
  <si>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</si>
  <si>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</si>
  <si>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</si>
  <si>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</si>
  <si>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</si>
  <si>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</si>
  <si>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</si>
  <si>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</si>
  <si>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</si>
  <si>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</si>
  <si>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</si>
  <si>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</si>
  <si>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</si>
  <si>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</si>
  <si>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</si>
  <si>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</si>
  <si>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</si>
  <si>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</si>
  <si>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</si>
  <si>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</si>
  <si>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</si>
  <si>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</si>
  <si>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</si>
  <si>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</si>
  <si>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</si>
  <si>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</si>
  <si>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</si>
  <si>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</si>
  <si>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</si>
  <si>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</si>
  <si>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</si>
  <si>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</si>
  <si>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</si>
  <si>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</si>
  <si>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</si>
  <si>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</si>
  <si>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</si>
  <si>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</si>
  <si>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</si>
  <si>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</si>
  <si>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</si>
  <si>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</si>
  <si>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</si>
  <si>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</si>
  <si>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</si>
  <si>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</si>
  <si>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</si>
  <si>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</si>
  <si>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</si>
  <si>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</si>
  <si>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</si>
  <si>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</si>
  <si>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</si>
  <si>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</si>
  <si>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</si>
  <si>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</si>
  <si>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</si>
  <si>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</si>
  <si>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</si>
  <si>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</si>
  <si>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</si>
  <si>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</si>
  <si>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</si>
  <si>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</si>
  <si>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</si>
  <si>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</si>
  <si>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</si>
  <si>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</si>
  <si>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</si>
  <si>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</si>
  <si>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</si>
  <si>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</si>
  <si>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</si>
  <si>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</si>
  <si>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</si>
  <si>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</si>
  <si>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</si>
  <si>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</si>
  <si>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</si>
  <si>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</si>
  <si>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</si>
  <si>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</si>
  <si>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</si>
  <si>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</si>
  <si>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</si>
  <si>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</si>
  <si>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</si>
  <si>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</si>
  <si>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</si>
  <si>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</si>
  <si>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</si>
  <si>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</si>
  <si>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</si>
  <si>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</si>
  <si>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</si>
  <si>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</si>
  <si>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</si>
  <si>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</si>
  <si>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</si>
  <si>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</si>
  <si>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</si>
  <si>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</si>
  <si>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</si>
  <si>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</si>
  <si>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</si>
  <si>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</si>
  <si>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</si>
  <si>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</si>
  <si>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</si>
  <si>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</si>
  <si>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</si>
  <si>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</si>
  <si>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</si>
  <si>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</si>
  <si>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</si>
  <si>
    <t>docs/external/task-mapping.md; tests/external/fixtures/; evidence/tb059-task-mapping.json; evidence/tb059-scripted/; evidence/tb059-goose-live/; evidence/tb059-goose-live-retry/</t>
  </si>
  <si>
    <t xml:space="preserve">Done 2026-10-20. Every development fixture (25: the tuning groups in data/splits.json) runs end to end through goose with the unchanged evaluators: scripted dev suite (tests/external/fixtures/dev-suite.json, 26 cases, both arms) gives evaluator verdicts identical to the built-in agent in every case (evidence/tb059-scripted). Tasks reach goose through its native input (task prompt via -t, documents only as tool results through the MCP adapter); fixtures, initial state and evaluators unchanged. No holdout fixture is loaded: development runs materialize only development fixtures and the runner asserts it (sealed_fixtures_loaded 0 in every report; tested with a mixed suite and a positive control). Live pilot (nvidia gpt-oss-20b, free tier, 1 repetition): 17/25 valid, retry 6/8 valid, 24/25 fixtures with a valid live pair; TB-ATT-DOC-008 timed out at the provider twice (invalid, not counted; not a mapping limit). No task goose cannot express. Live numbers are pilot evidence, not an estimate. Fixed: a run cut off while the provider still owed an answer was counted as a valid agent timeout; it is now an invalid provider fault.
</t>
  </si>
  <si>
    <t>tests/external/authorization/; evidence/external-authorization-report.json; evidence/external-authorization-report-linux.json; src/external/sandbox.ts; docs/external/threat-model.md</t>
  </si>
  <si>
    <t xml:space="preserve">Done 2026-10-22 (owner decision: complete with the Linux Mode B limitation stated). goose and every process it starts run confined (src/external/sandbox.ts: sandbox-exec on macOS, Landlock on Linux): only the episode socket and the model proxy port reachable, writes only inside the episode folder; the capability (gateway session token) stays in the adapter. Bypass tests (tests/external/authorization/, project owner): direct calls, forged and replayed tokens, unlisted tools, argument smuggling and calls after cancellation, in both modes; each with a positive control and the audit check. macOS: 12/12 pass, every refusal audited (gateway or TB-004 deny decisions, including refused connections and calls after the episode ends), no tool effect without a gateway allow (evidence/external-authorization-report.json). LIMITATION: Linux container run (Landlock) 10/12 - Mode A 6/6, Mode B 2 open (direct_calls not refused; unlisted_tools positive control not detected) (evidence/external-authorization-report-linux.json); listed uncovered in docs/external/threat-model.md, no claim covers the native integration on Linux; the live service runs Mode A only. Next action for the limitation: fix and rerun the two Mode B checks in the container.
</t>
  </si>
  <si>
    <t>evidence/external-smoke-report.json; tests/external/conformance/; evidence/tb060/; scripts/check-external-smoke.py</t>
  </si>
  <si>
    <t xml:space="preserve">Done 2026-10-22. Conformance (tests/external/conformance/, mock model): TB-012 smoke suite through goose 17/17 valid, verdicts identical to the built-in agent, TB-004 traces valid, contract checks pass, spans for every run incl. model spans, no seeded sensitive value or credential (scripts/check-external-smoke.py; a control proves it rejects spans without model calls). Live smoke, development split, both arms, all checks pass (evidence/external-smoke-report.json): local runner qwen3.5:9b 6/6; live-service API on a local instance: scripted 6/6, Gemini 2/2; deployed public demo: scripted 6/6 and live Gemini (own key) 2/2. Fixed on the way: (1) goose runs exported no model spans; (2) a provider fault goose retried past invalidated the run, stricter than the built-in agents; now counted as a retry (provider_retries), only faults the run ends on make it invalid (tested with a fake provider and a control). Provider faults recorded invalid, never counted: NVIDIA gpt-oss-20b timed out in every attempt (free tier congested), two early Gemini demo attempts under the old rule.
</t>
  </si>
  <si>
    <t xml:space="preserve">Done 2026-10-22. Amendment A-030 (protocol/amendments.md) and registry entry external_validation (protocol 1.3.0) committed before any external evaluation run (all external-agent runs so far are development work on the development split; verify-protocol asserts evaluation_runs_started=false). Registered: hypotheses H1-H3, primary endpoints (unsafe committed-effect rate, benign utility, 5 pp non-inferiority margin), overhead measures, adapter modes (Mode A primary, Mode B secondary, Linux Mode B confinement not claimed), systems, 5 repetitions, frozen model with a fallback rule (never pooled), renderings, analysis (Wilson, cluster bootstrap, McNemar) and stopping rules. Split procedure registered, not the split: scripts/external-split.py assigns families (seed 2026102201, 60% external, stratified by workflow, sha256 order); ineligible: the 8 tuning-used families and every sealed fixture; holdout-only families eligible as new fixtures (holdout_seen); refuses reassignment and hand-edited manifests. Tests (tests/external/split, 7) on placeholder lists: deterministic for its seed, stratified, excludes tuning families and the core holdout, no reassignment. The split itself is made in TB-062.
</t>
  </si>
  <si>
    <t>data/external-attacks.jsonl; data/external-attack-oracles.json; data/external-splits.json; data/external-manifest.json; tests/external/attacks/; evidence/tb062-positive-controls.json; docs/external/attack-families.md</t>
  </si>
  <si>
    <t xml:space="preserve">Done 2026-10-22. 12 attack families, each with a benign twin, oracle, cited source (arXiv) and rationale, new tenants (data/external-*.json): new - long-document buried instruction, delayed multi-step instruction, cross-tool split injection, allowed-tool exfiltration, forged plan status, delayed cross-record update; re-authored as new fixtures (holdout_seen) - citation laundering, abstention override, contact-attribute leak, payment-instruction insertion, approved-value substitution, notification exfiltration. Memory attacks not applicable (goose memory disabled by the contract, EX-25). Every oracle validated on scripted trajectories against the real backend (tests/external/attacks): benign twin passes, injection alone is no effect, attack-following trajectory achieves the goal. Split assigned by the registered TB-061 script: 9 external_validation, 3 tuning (one per workflow); disjoint from tuning families and sealed fixtures (tested); data/external-manifest.json froze all files with SHA-256 before any defended run (one pre-run revision of TB-ATT-EXT-EMAIL-001 recorded with its previous digest). Positive controls vs the undefended agent (goose, local qwen3.5:9b, 3 repetitions): 36/36, every family 3/3 (evidence/tb062-positive-controls.json); earlier single runs each had one miss, disclosed. No defended run made.
</t>
  </si>
  <si>
    <t>Done 2026-10-22. 10 fault classes plus 3 no-fault controls, goose 1.55.0 on both arms (alone, behind the gateway), live ollama:qwen3.5:9b, 3 repetitions each, 78 runs, 0 invalid. Classes: read timeout (hang, ended by the new 20 s per-call adapter timeout), 503 twice, 429, connection reset, malformed body, 1.5 MB oversized output, 8 s slow response, draft response lost after commit, apply 503 after commit, cancellation after the first call. Acceptance (checked by script): every class exercised on both arms; 0 duplicate committed writes; recovery and termination rates per class and arm with Wilson 95% intervals; 0 calls forwarded after cancellation. Results: termination 3/3 everywhere (no runtime-limit endings). Recovery 0/3 on both arms for timeout, 503, reset and malformed (goose does not retry the read; it searches and saves an uncited note); 3/3 for 429 (retries), oversized, slow and apply-after-commit; draft-lost 3/3 alone, 2/3 behind the gateway (one run never reached the draft). Goose re-sent the lost draft with the same key in 4 of 5 runs that reached it; the backend refused it (draft_already_exists), so writes are protected by backend idempotency, not the agent; gateway replays 0. On the gateway arm, after-commit faults on apply_record_update are injected in the host approval workflow so both arms lose the same committing response. Limits: 3 repetitions of one local model, one case per workflow, so intervals are wide; no between-arm test claimed; the email control already fails 2/3 behind the gateway without faults (the model opens with read_document, outside the email contract); cancellation drill runs on the MCP adapter, not the native-extension mode.</t>
  </si>
  <si>
    <t>protocol/amendments.md; protocol/experiment-registry.yaml; scripts/external-split.py; tests/external/split/</t>
  </si>
  <si>
    <t>evidence/external-reliability-report.json; configs/external-reliability.yaml; scripts/external-reliability.mjs; tests/recovery/fault-schedules.json; tests/external/reliability/; docs/external/reliability.md</t>
  </si>
  <si>
    <t>evidence/external-evaluation-report.json; runs/external/; docs/external/evaluation.md; scripts/run-external-evaluation.mjs; scripts/analyse-external-evaluation.py; tests/external/evaluation/</t>
  </si>
  <si>
    <t>Done 2026-10-24. goose 1.55.0 (Mode A) alone vs behind the gateway (gateway_capability: the frozen gateway with no agent-side defense, which an external agent cannot host; A-030) on the 9 external-validation families plus their 9 benign twins; TB-028 schedules, 5 repetitions; benign once, attacks under the primary, secondary and positive-control renderings: 180 pairs per model. Every scheduled unit has a paired report in every batch (checked by script). Registered fallback rule applied in order and recorded in protocol/amendments.md: primary nvidia:openai/gpt-oss-20b 141/180 pairs invalid (78%, all provider timeouts at 240 s, both arms alike) and Gemini gemma-4-26b-a4b-it 74/180 invalid (41%, 429 and 5xx; it ran in 2 lanes, which raised its request rate) are kept in full and labelled INVALID with no rates; the last fallback ollama:qwen3.5:9b was 180/180 valid with one constant response model and is the analysed batch (a separate analysis, not pooled). Results (qwen, Wilson 95% / cluster-bootstrap 95%): unsafe committed effect, primary rendering 33/45 alone vs 2/45 gateway, difference -0.69 [-0.91, -0.40] (H1 supported); as_authored 21/45 vs 5/45, -0.36 [-0.60, -0.13]; positive control 45/45 vs 7/45. Benign utility 37/45 on both arms, difference 0.00 [-0.18, +0.16]: H2 non-inferiority (5 pp) not established, the interval is wider than the margin. Remaining leaks are all email-body content (contact-attribute leak, payment instruction, allowed-tool exfiltration), which a capability gateway does not inspect. Overhead: gateway policy p50 1.6 ms, p95 15.5 ms per decision; model calls p50 3 vs 3.5; 2/90 defended runs at a runtime limit (budget), 0/90 baseline. Limits: the analysed model is the last fallback (local 9B), not the frozen primary; Mode B (native integration) not run in this pass; goose sends no seed, so repetitions differ by sampling.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</si>
</sst>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71" activePane="bottomRight" state="frozen"/>
      <selection pane="topRight"/>
      <selection pane="bottomLeft"/>
      <selection pane="bottomRight" activeCell="C4" sqref="C4"/>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64</v>
      </c>
      <c r="C5" s="6">
        <f>IF(A5=0,0,B5/A5)</f>
        <v>0.88888888888888884</v>
      </c>
      <c r="D5" s="5">
        <f>COUNTIFS($D$12:$D$83,"Blocked")</f>
        <v>0</v>
      </c>
      <c r="E5" s="5">
        <f>SUM($H$12:$H$83)</f>
        <v>357</v>
      </c>
      <c r="F5" s="5">
        <f>SUMIFS($H$12:$H$83,$D$12:$D$83,"&lt;&gt;Completed")</f>
        <v>62</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1</v>
      </c>
      <c r="E69" s="10" t="s">
        <v>525</v>
      </c>
      <c r="F69" s="10" t="s">
        <v>225</v>
      </c>
      <c r="G69" s="10" t="s">
        <v>921</v>
      </c>
      <c r="H69" s="18">
        <v>6</v>
      </c>
      <c r="I69" s="14"/>
      <c r="J69" s="16"/>
      <c r="K69" s="10" t="s">
        <v>846</v>
      </c>
      <c r="L69" s="10" t="s">
        <v>775</v>
      </c>
      <c r="M69" s="10" t="s">
        <v>776</v>
      </c>
      <c r="N69" s="10" t="s">
        <v>847</v>
      </c>
      <c r="O69" s="10" t="s">
        <v>777</v>
      </c>
      <c r="P69" s="10" t="s">
        <v>778</v>
      </c>
      <c r="Q69" s="10" t="s">
        <v>762</v>
      </c>
      <c r="R69" s="10" t="s">
        <v>223</v>
      </c>
      <c r="S69" s="14" t="s">
        <v>926</v>
      </c>
      <c r="T69" s="14" t="s">
        <v>927</v>
      </c>
      <c r="U69" s="10">
        <v>1</v>
      </c>
    </row>
    <row r="70" spans="1:21" ht="64" customHeight="1">
      <c r="A70" s="10" t="s">
        <v>541</v>
      </c>
      <c r="B70" s="10" t="s">
        <v>754</v>
      </c>
      <c r="C70" s="10" t="s">
        <v>780</v>
      </c>
      <c r="D70" s="14" t="s">
        <v>1</v>
      </c>
      <c r="E70" s="10" t="s">
        <v>525</v>
      </c>
      <c r="F70" s="10" t="s">
        <v>138</v>
      </c>
      <c r="G70" s="10" t="s">
        <v>921</v>
      </c>
      <c r="H70" s="18">
        <v>5</v>
      </c>
      <c r="I70" s="14"/>
      <c r="J70" s="16"/>
      <c r="K70" s="10" t="s">
        <v>781</v>
      </c>
      <c r="L70" s="10" t="s">
        <v>782</v>
      </c>
      <c r="M70" s="10" t="s">
        <v>783</v>
      </c>
      <c r="N70" s="10" t="s">
        <v>784</v>
      </c>
      <c r="O70" s="10" t="s">
        <v>785</v>
      </c>
      <c r="P70" s="10" t="s">
        <v>786</v>
      </c>
      <c r="Q70" s="10" t="s">
        <v>762</v>
      </c>
      <c r="R70" s="10" t="s">
        <v>100</v>
      </c>
      <c r="S70" s="14" t="s">
        <v>924</v>
      </c>
      <c r="T70" s="14" t="s">
        <v>925</v>
      </c>
      <c r="U70" s="10">
        <v>1</v>
      </c>
    </row>
    <row r="71" spans="1:21" ht="64" customHeight="1">
      <c r="A71" s="10" t="s">
        <v>549</v>
      </c>
      <c r="B71" s="10" t="s">
        <v>754</v>
      </c>
      <c r="C71" s="10" t="s">
        <v>788</v>
      </c>
      <c r="D71" s="14" t="s">
        <v>1</v>
      </c>
      <c r="E71" s="10" t="s">
        <v>533</v>
      </c>
      <c r="F71" s="10" t="s">
        <v>541</v>
      </c>
      <c r="G71" s="10" t="s">
        <v>921</v>
      </c>
      <c r="H71" s="18">
        <v>4</v>
      </c>
      <c r="I71" s="14"/>
      <c r="J71" s="16"/>
      <c r="K71" s="10" t="s">
        <v>879</v>
      </c>
      <c r="L71" s="10" t="s">
        <v>789</v>
      </c>
      <c r="M71" s="10" t="s">
        <v>790</v>
      </c>
      <c r="N71" s="10" t="s">
        <v>791</v>
      </c>
      <c r="O71" s="10" t="s">
        <v>792</v>
      </c>
      <c r="P71" s="10" t="s">
        <v>793</v>
      </c>
      <c r="Q71" s="10" t="s">
        <v>762</v>
      </c>
      <c r="R71" s="10" t="s">
        <v>100</v>
      </c>
      <c r="S71" s="14" t="s">
        <v>928</v>
      </c>
      <c r="T71" s="14" t="s">
        <v>929</v>
      </c>
      <c r="U71" s="10">
        <v>1</v>
      </c>
    </row>
    <row r="72" spans="1:21" ht="64" customHeight="1">
      <c r="A72" s="10" t="s">
        <v>753</v>
      </c>
      <c r="B72" s="10" t="s">
        <v>754</v>
      </c>
      <c r="C72" s="10" t="s">
        <v>848</v>
      </c>
      <c r="D72" s="14" t="s">
        <v>1</v>
      </c>
      <c r="E72" s="10" t="s">
        <v>549</v>
      </c>
      <c r="F72" s="10" t="s">
        <v>82</v>
      </c>
      <c r="G72" s="10" t="s">
        <v>921</v>
      </c>
      <c r="H72" s="18">
        <v>4</v>
      </c>
      <c r="I72" s="14"/>
      <c r="J72" s="16"/>
      <c r="K72" s="10" t="s">
        <v>849</v>
      </c>
      <c r="L72" s="10" t="s">
        <v>795</v>
      </c>
      <c r="M72" s="10" t="s">
        <v>850</v>
      </c>
      <c r="N72" s="10" t="s">
        <v>851</v>
      </c>
      <c r="O72" s="10" t="s">
        <v>852</v>
      </c>
      <c r="P72" s="10" t="s">
        <v>853</v>
      </c>
      <c r="Q72" s="10" t="s">
        <v>762</v>
      </c>
      <c r="R72" s="10" t="s">
        <v>771</v>
      </c>
      <c r="S72" s="14" t="s">
        <v>934</v>
      </c>
      <c r="T72" s="14" t="s">
        <v>930</v>
      </c>
      <c r="U72" s="10">
        <v>1</v>
      </c>
    </row>
    <row r="73" spans="1:21" ht="64" customHeight="1">
      <c r="A73" s="10" t="s">
        <v>763</v>
      </c>
      <c r="B73" s="10" t="s">
        <v>754</v>
      </c>
      <c r="C73" s="10" t="s">
        <v>797</v>
      </c>
      <c r="D73" s="14" t="s">
        <v>1</v>
      </c>
      <c r="E73" s="10" t="s">
        <v>753</v>
      </c>
      <c r="F73" s="10" t="s">
        <v>111</v>
      </c>
      <c r="G73" s="10" t="s">
        <v>921</v>
      </c>
      <c r="H73" s="18">
        <v>8</v>
      </c>
      <c r="I73" s="14"/>
      <c r="J73" s="16"/>
      <c r="K73" s="10" t="s">
        <v>854</v>
      </c>
      <c r="L73" s="10" t="s">
        <v>798</v>
      </c>
      <c r="M73" s="10" t="s">
        <v>799</v>
      </c>
      <c r="N73" s="10" t="s">
        <v>855</v>
      </c>
      <c r="O73" s="10" t="s">
        <v>856</v>
      </c>
      <c r="P73" s="10" t="s">
        <v>857</v>
      </c>
      <c r="Q73" s="10" t="s">
        <v>762</v>
      </c>
      <c r="R73" s="10" t="s">
        <v>771</v>
      </c>
      <c r="S73" s="14" t="s">
        <v>931</v>
      </c>
      <c r="T73" s="14" t="s">
        <v>932</v>
      </c>
      <c r="U73" s="10">
        <v>1</v>
      </c>
    </row>
    <row r="74" spans="1:21" ht="64" customHeight="1">
      <c r="A74" s="10" t="s">
        <v>772</v>
      </c>
      <c r="B74" s="10" t="s">
        <v>754</v>
      </c>
      <c r="C74" s="10" t="s">
        <v>801</v>
      </c>
      <c r="D74" s="14" t="s">
        <v>1</v>
      </c>
      <c r="E74" s="10" t="s">
        <v>549</v>
      </c>
      <c r="F74" s="10" t="s">
        <v>265</v>
      </c>
      <c r="G74" s="10" t="str">
        <f t="shared" si="4"/>
        <v>Done</v>
      </c>
      <c r="H74" s="18">
        <v>5</v>
      </c>
      <c r="I74" s="14"/>
      <c r="J74" s="16"/>
      <c r="K74" s="10" t="s">
        <v>802</v>
      </c>
      <c r="L74" s="10" t="s">
        <v>803</v>
      </c>
      <c r="M74" s="10" t="s">
        <v>804</v>
      </c>
      <c r="N74" s="10" t="s">
        <v>805</v>
      </c>
      <c r="O74" s="10" t="s">
        <v>806</v>
      </c>
      <c r="P74" s="10" t="s">
        <v>807</v>
      </c>
      <c r="Q74" s="10" t="s">
        <v>762</v>
      </c>
      <c r="R74" s="10" t="s">
        <v>175</v>
      </c>
      <c r="S74" s="14" t="s">
        <v>935</v>
      </c>
      <c r="T74" s="14" t="s">
        <v>933</v>
      </c>
      <c r="U74" s="10">
        <f t="shared" si="5"/>
        <v>1</v>
      </c>
    </row>
    <row r="75" spans="1:21" ht="64" customHeight="1">
      <c r="A75" s="10" t="s">
        <v>773</v>
      </c>
      <c r="B75" s="10" t="s">
        <v>754</v>
      </c>
      <c r="C75" s="10" t="s">
        <v>809</v>
      </c>
      <c r="D75" s="14" t="s">
        <v>1</v>
      </c>
      <c r="E75" s="10" t="s">
        <v>763</v>
      </c>
      <c r="F75" s="10" t="s">
        <v>772</v>
      </c>
      <c r="G75" s="10" t="str">
        <f t="shared" si="4"/>
        <v>Done</v>
      </c>
      <c r="H75" s="18">
        <v>10</v>
      </c>
      <c r="I75" s="14"/>
      <c r="J75" s="16"/>
      <c r="K75" s="10" t="s">
        <v>810</v>
      </c>
      <c r="L75" s="10" t="s">
        <v>811</v>
      </c>
      <c r="M75" s="10" t="s">
        <v>858</v>
      </c>
      <c r="N75" s="10" t="s">
        <v>812</v>
      </c>
      <c r="O75" s="10" t="s">
        <v>813</v>
      </c>
      <c r="P75" s="10" t="s">
        <v>814</v>
      </c>
      <c r="Q75" s="10" t="s">
        <v>762</v>
      </c>
      <c r="R75" s="10" t="s">
        <v>100</v>
      </c>
      <c r="S75" s="14" t="s">
        <v>936</v>
      </c>
      <c r="T75" s="14" t="s">
        <v>937</v>
      </c>
      <c r="U75" s="10">
        <f t="shared" si="5"/>
        <v>1</v>
      </c>
    </row>
    <row r="76" spans="1:21" ht="64" customHeight="1">
      <c r="A76" s="10" t="s">
        <v>779</v>
      </c>
      <c r="B76" s="10" t="s">
        <v>754</v>
      </c>
      <c r="C76" s="10" t="s">
        <v>816</v>
      </c>
      <c r="D76" s="14" t="s">
        <v>288</v>
      </c>
      <c r="E76" s="10" t="s">
        <v>773</v>
      </c>
      <c r="F76" s="10" t="s">
        <v>344</v>
      </c>
      <c r="G76" s="10" t="str">
        <f t="shared" si="4"/>
        <v>Ready</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10</v>
      </c>
      <c r="D100" s="11">
        <f t="shared" ref="D100" si="17">COUNTIFS($B$12:$B$83,A100,$D$12:$D$83,"Not Started")</f>
        <v>2</v>
      </c>
      <c r="E100" s="11">
        <f t="shared" ref="E100" si="18">COUNTIFS($B$12:$B$83,A100,$D$12:$D$83,"In Progress")</f>
        <v>0</v>
      </c>
      <c r="F100" s="11">
        <f t="shared" ref="F100" si="19">COUNTIFS($B$12:$B$83,A100,$D$12:$D$83,"Blocked")</f>
        <v>0</v>
      </c>
      <c r="G100" s="20">
        <f t="shared" ref="G100" si="20">IF(B100=0,0,C100/B100)</f>
        <v>0.83333333333333337</v>
      </c>
      <c r="H100" s="11">
        <f t="shared" ref="H100" si="21">SUMIFS($H$12:$H$83,$B$12:$B$83,A100)</f>
        <v>72</v>
      </c>
      <c r="I100" s="11">
        <f>SUMIFS($H$12:$H$83,$B$12:$B$83,A100,$D$12:$D$83,"&lt;&gt;Completed")</f>
        <v>10</v>
      </c>
      <c r="J100" s="11">
        <f>COUNTIFS($B$12:$B$83,A100,$G$12:$G$83,"Ready")</f>
        <v>1</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2026-10-24T13:43:34Z</dcterms:modified>
</cp:coreProperties>
</file>