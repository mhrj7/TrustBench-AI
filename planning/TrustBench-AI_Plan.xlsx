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5DCC6B76-95A1-A94A-897B-733AFE7F3277}"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100" i="1" l="1"/>
  <c r="F100" i="1"/>
  <c r="E100" i="1"/>
  <c r="D100" i="1"/>
  <c r="C100" i="1"/>
  <c r="B100" i="1"/>
  <c r="U77" i="1"/>
  <c r="G77" i="1"/>
  <c r="U76" i="1"/>
  <c r="G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G54" i="1"/>
  <c r="U53" i="1"/>
  <c r="G53" i="1"/>
  <c r="U52" i="1"/>
  <c r="G52" i="1"/>
  <c r="U51" i="1"/>
  <c r="G51" i="1"/>
  <c r="U50" i="1"/>
  <c r="G50" i="1"/>
  <c r="U49" i="1"/>
  <c r="G49" i="1"/>
  <c r="U48" i="1"/>
  <c r="G48" i="1"/>
  <c r="U47" i="1"/>
  <c r="G47" i="1"/>
  <c r="U46" i="1"/>
  <c r="G46" i="1"/>
  <c r="U45" i="1"/>
  <c r="G45" i="1"/>
  <c r="U44" i="1"/>
  <c r="G44" i="1"/>
  <c r="U43" i="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3" i="1" l="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J96" i="1" s="1"/>
  <c r="G13" i="1"/>
  <c r="G15" i="1"/>
  <c r="J92" i="1" l="1"/>
  <c r="J91" i="1"/>
</calcChain>
</file>

<file path=xl/sharedStrings.xml><?xml version="1.0" encoding="utf-8"?>
<sst xmlns="http://schemas.openxmlformats.org/spreadsheetml/2006/main" count="1215" uniqueCount="871">
  <si>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</si>
  <si>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</si>
  <si>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</si>
  <si>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</si>
  <si>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</si>
  <si>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</si>
  <si>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</si>
  <si>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</si>
  <si>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</si>
  <si>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</si>
  <si>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</si>
  <si>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</si>
  <si>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</si>
  <si>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</si>
  <si>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</si>
  <si>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</si>
  <si>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</si>
  <si>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</si>
  <si>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</si>
  <si>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</si>
  <si>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</si>
  <si>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</si>
  <si>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</si>
  <si>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</si>
  <si>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</si>
  <si>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</si>
  <si>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</si>
  <si>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</si>
  <si>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</si>
  <si>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</si>
  <si>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</si>
  <si>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</si>
  <si>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</si>
  <si>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</si>
  <si>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</si>
  <si>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</si>
  <si>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</si>
  <si>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</si>
  <si>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</si>
  <si>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</si>
  <si>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</si>
  <si>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</si>
  <si>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</si>
  <si>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</si>
  <si>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</si>
  <si>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</si>
  <si>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</si>
  <si>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</si>
  <si>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</si>
  <si>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</si>
  <si>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</si>
  <si>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</si>
  <si>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</si>
  <si>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</si>
  <si>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</si>
  <si>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</si>
  <si>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</si>
  <si>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</si>
  <si>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</si>
  <si>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</si>
  <si>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</si>
  <si>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</si>
  <si>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</si>
  <si>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</si>
  <si>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</si>
  <si>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</si>
  <si>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</si>
  <si>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</si>
  <si>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</si>
  <si>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</si>
  <si>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</si>
  <si>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</si>
  <si>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</si>
  <si>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</si>
  <si>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</si>
  <si>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</si>
  <si>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</si>
  <si>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</si>
  <si>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</si>
  <si>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</si>
  <si>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</si>
  <si>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</si>
  <si>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</si>
  <si>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</si>
  <si>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</si>
  <si>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</si>
  <si>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</si>
  <si>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</si>
  <si>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</si>
  <si>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</si>
  <si>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</si>
  <si>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</si>
  <si>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</si>
  <si>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</si>
  <si>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</si>
  <si>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</si>
  <si>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</si>
  <si>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</si>
  <si>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</si>
  <si>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</si>
  <si>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</si>
  <si>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</si>
  <si>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</si>
  <si>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</si>
  <si>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</si>
  <si>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</si>
  <si>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</si>
  <si>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</si>
  <si>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</si>
  <si>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</si>
  <si>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</si>
  <si>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</si>
  <si>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</si>
  <si>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</si>
  <si>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</si>
  <si>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</si>
  <si>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</si>
  <si>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</si>
  <si>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</si>
  <si>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</si>
  <si>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</si>
  <si>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</si>
  <si>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</si>
  <si>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</si>
  <si>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</si>
  <si>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</si>
  <si>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</si>
  <si>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</si>
  <si>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</si>
  <si>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</si>
  <si>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</si>
  <si>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</si>
  <si>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</si>
  <si>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</si>
  <si>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</si>
  <si>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</si>
  <si>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</si>
  <si>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</si>
  <si>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</si>
  <si>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</si>
  <si>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</si>
  <si>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</si>
  <si>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</si>
  <si>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</si>
  <si>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</si>
  <si>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</si>
  <si>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</si>
  <si>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</si>
  <si>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</si>
  <si>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</si>
  <si>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</si>
  <si>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</si>
  <si>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</si>
  <si>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</si>
  <si>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</si>
  <si>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</si>
  <si>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</si>
  <si>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</si>
  <si>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</si>
  <si>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</si>
  <si>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</si>
  <si>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</si>
  <si>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</si>
  <si>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</si>
  <si>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</si>
  <si>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</si>
  <si>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</si>
  <si>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</si>
  <si>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</si>
  <si>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</si>
  <si>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</si>
  <si>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</si>
  <si>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</si>
  <si>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</si>
  <si>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</si>
  <si>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</si>
  <si>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</si>
  <si>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</si>
  <si>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</si>
  <si>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</si>
  <si>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</si>
  <si>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</si>
  <si>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</si>
  <si>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</si>
  <si>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</si>
  <si>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</si>
  <si>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</si>
  <si>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</si>
  <si>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</si>
  <si>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</si>
  <si>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</si>
  <si>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</si>
  <si>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</si>
  <si>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</si>
  <si>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</si>
  <si>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</si>
  <si>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</si>
  <si>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</si>
  <si>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</si>
  <si>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</si>
  <si>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</si>
  <si>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</si>
  <si>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</si>
  <si>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</si>
  <si>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</si>
  <si>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</si>
  <si>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</si>
  <si>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</si>
  <si>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</si>
  <si>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</si>
  <si>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</si>
  <si>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</si>
  <si>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</si>
  <si>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</si>
  <si>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</si>
  <si>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</si>
  <si>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</si>
  <si>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</si>
  <si>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</si>
  <si>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</si>
  <si>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</si>
  <si>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</si>
  <si>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</si>
  <si>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</si>
  <si>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</si>
  <si>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</si>
  <si>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</si>
  <si>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</si>
  <si>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</si>
  <si>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</si>
  <si>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</si>
  <si>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</si>
  <si>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</si>
  <si>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</si>
  <si>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</si>
  <si>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</si>
  <si>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</si>
  <si>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</si>
  <si>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</si>
  <si>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</si>
  <si>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</si>
  <si>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</si>
  <si>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</si>
  <si>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</si>
  <si>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</si>
  <si>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</si>
  <si>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</si>
  <si>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</si>
  <si>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</si>
  <si>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</si>
  <si>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</si>
  <si>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</si>
  <si>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</si>
  <si>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</si>
  <si>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</si>
  <si>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</si>
  <si>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</si>
  <si>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</si>
  <si>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</si>
  <si>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</si>
  <si>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</si>
  <si>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</si>
  <si>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</si>
  <si>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</si>
  <si>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</si>
  <si>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</si>
  <si>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</si>
  <si>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</si>
  <si>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</si>
  <si>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</si>
  <si>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</si>
  <si>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</si>
  <si>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</si>
  <si>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</si>
  <si>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</si>
  <si>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</si>
  <si>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</si>
  <si>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</si>
  <si>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</si>
  <si>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</si>
  <si>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</si>
  <si>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</si>
  <si>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</si>
  <si>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</si>
  <si>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</si>
  <si>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</si>
  <si>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</si>
  <si>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</si>
  <si>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</si>
  <si>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</si>
  <si>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</si>
  <si>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</si>
  <si>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</si>
  <si>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</si>
  <si>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</si>
  <si>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</si>
  <si>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</si>
  <si>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</si>
  <si>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</si>
  <si>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</si>
  <si>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</si>
  <si>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</si>
  <si>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</si>
  <si>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</si>
  <si>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</si>
  <si>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</si>
  <si>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</si>
  <si>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</si>
  <si>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</si>
  <si>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</si>
  <si>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</si>
  <si>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</si>
  <si>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</si>
  <si>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</si>
  <si>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</si>
  <si>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</si>
  <si>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</si>
  <si>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</si>
  <si>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</si>
  <si>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</si>
  <si>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</si>
  <si>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</si>
  <si>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</si>
  <si>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</si>
  <si>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</si>
  <si>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</si>
  <si>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</si>
  <si>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</si>
  <si>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</si>
  <si>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</si>
  <si>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</si>
  <si>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</si>
  <si>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</si>
  <si>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</si>
  <si>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</si>
  <si>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</si>
  <si>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</si>
  <si>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</si>
  <si>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</si>
  <si>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</si>
  <si>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</si>
  <si>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</si>
  <si>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</si>
  <si>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</si>
  <si>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</si>
  <si>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</si>
  <si>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</si>
  <si>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</si>
  <si>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</si>
  <si>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</si>
  <si>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</si>
  <si>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</si>
  <si>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</si>
  <si>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</si>
  <si>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</si>
  <si>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</si>
  <si>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</si>
  <si>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</si>
  <si>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</si>
  <si>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</si>
  <si>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</si>
  <si>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</si>
  <si>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</si>
  <si>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</si>
  <si>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</si>
  <si>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</si>
  <si>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</si>
  <si>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</si>
  <si>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</si>
  <si>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</si>
  <si>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</si>
  <si>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</si>
  <si>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</si>
  <si>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</si>
  <si>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</si>
  <si>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</si>
  <si>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</si>
  <si>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</si>
  <si>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</si>
  <si>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</si>
  <si>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</si>
  <si>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</si>
  <si>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</si>
  <si>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</si>
  <si>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</si>
  <si>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</si>
  <si>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</si>
  <si>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</si>
  <si>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</si>
  <si>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</si>
  <si>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</si>
  <si>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</si>
  <si>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</si>
  <si>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</si>
  <si>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</si>
  <si>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</si>
  <si>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</si>
  <si>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</si>
  <si>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</si>
  <si>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</si>
  <si>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</si>
  <si>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</si>
  <si>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</si>
  <si>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</si>
  <si>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</si>
  <si>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</si>
  <si>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</si>
  <si>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</si>
  <si>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</si>
  <si>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</si>
  <si>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</si>
  <si>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</si>
  <si>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</si>
  <si>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</si>
  <si>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</si>
  <si>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</si>
  <si>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</si>
  <si>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</si>
  <si>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</si>
  <si>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</si>
  <si>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</si>
  <si>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</si>
  <si>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</si>
  <si>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</si>
  <si>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</si>
  <si>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</si>
  <si>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</si>
  <si>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</si>
  <si>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</si>
  <si>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</si>
  <si>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</si>
  <si>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</si>
  <si>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</si>
  <si>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</si>
  <si>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</si>
  <si>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</si>
  <si>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</si>
  <si>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</si>
  <si>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</si>
  <si>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</si>
  <si>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</si>
  <si>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</si>
  <si>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</si>
  <si>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</si>
  <si>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</si>
  <si>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</si>
  <si>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</si>
  <si>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</si>
  <si>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</si>
  <si>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</si>
  <si>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</si>
  <si>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</si>
  <si>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</si>
  <si>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</si>
  <si>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</si>
  <si>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</si>
  <si>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</si>
  <si>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</si>
  <si>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</si>
  <si>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</si>
  <si>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</si>
  <si>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</si>
  <si>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</si>
  <si>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</si>
  <si>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</si>
  <si>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</si>
  <si>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</si>
  <si>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</si>
  <si>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</si>
  <si>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</si>
  <si>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</si>
  <si>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</si>
  <si>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</si>
  <si>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</si>
  <si>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</si>
  <si>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</si>
  <si>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</si>
  <si>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</si>
  <si>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</si>
  <si>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</si>
  <si>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</si>
  <si>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</si>
  <si>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</si>
  <si>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</si>
  <si>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</si>
  <si>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</si>
  <si>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</si>
  <si>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</si>
  <si>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</si>
  <si>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</si>
  <si>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</si>
  <si>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</si>
  <si>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</si>
  <si>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</si>
  <si>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</si>
  <si>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</si>
  <si>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</si>
  <si>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</si>
  <si>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</si>
  <si>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</si>
  <si>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</si>
  <si>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</si>
  <si>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</si>
  <si>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</si>
  <si>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</si>
  <si>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</si>
  <si>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</si>
  <si>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</si>
  <si>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</si>
  <si>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</si>
  <si>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</si>
  <si>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</si>
  <si>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</si>
  <si>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</si>
  <si>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</si>
  <si>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</si>
  <si>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</si>
  <si>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</si>
  <si>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</si>
  <si>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</si>
  <si>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</si>
  <si>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</si>
  <si>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</si>
  <si>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</si>
  <si>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</si>
  <si>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</si>
  <si>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</si>
  <si>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</si>
  <si>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</si>
  <si>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</si>
  <si>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</si>
  <si>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</si>
  <si>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</si>
  <si>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</si>
  <si>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</si>
  <si>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</si>
  <si>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</si>
  <si>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</si>
  <si>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</si>
  <si>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</si>
  <si>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</si>
  <si>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</si>
  <si>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</si>
  <si>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</si>
  <si>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</si>
  <si>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</si>
  <si>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</si>
  <si>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</si>
  <si>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</si>
  <si>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</si>
  <si>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</si>
  <si>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</si>
  <si>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</si>
  <si>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</si>
  <si>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</si>
  <si>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</si>
  <si>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</si>
  <si>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</si>
  <si>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</si>
  <si>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</si>
  <si>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</si>
  <si>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</si>
  <si>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</si>
  <si>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</si>
  <si>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</si>
  <si>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</si>
  <si>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</si>
  <si>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</si>
  <si>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</si>
  <si>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</si>
  <si>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</si>
  <si>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</si>
  <si>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</si>
  <si>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</si>
  <si>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</si>
  <si>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</si>
  <si>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</si>
  <si>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</si>
  <si>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</si>
  <si>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</si>
  <si>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</si>
  <si>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</si>
  <si>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</si>
  <si>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</si>
  <si>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</si>
  <si>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</si>
  <si>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</si>
  <si>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</si>
  <si>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</si>
  <si>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</si>
  <si>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</si>
  <si>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</si>
  <si>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</si>
  <si>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</si>
  <si>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</si>
  <si>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</si>
  <si>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</si>
  <si>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</si>
  <si>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</si>
  <si>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</si>
  <si>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</si>
  <si>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</si>
  <si>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</si>
  <si>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</si>
  <si>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</si>
  <si>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</si>
  <si>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</si>
  <si>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</si>
  <si>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</si>
  <si>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</si>
  <si>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</si>
  <si>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</si>
  <si>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</si>
  <si>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</si>
  <si>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</si>
  <si>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</si>
  <si>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</si>
  <si>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</si>
  <si>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</si>
  <si>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</si>
  <si>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</si>
  <si>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</si>
  <si>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</si>
  <si>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</si>
  <si>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</si>
  <si>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</si>
  <si>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</si>
  <si>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</si>
  <si>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</si>
  <si>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</si>
  <si>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</si>
  <si>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</si>
  <si>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</si>
  <si>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</si>
  <si>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</si>
  <si>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</si>
  <si>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</si>
  <si>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</si>
  <si>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</si>
  <si>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</si>
  <si>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</si>
  <si>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</si>
  <si>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</si>
  <si>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</si>
  <si>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</si>
  <si>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</si>
  <si>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</si>
  <si>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</si>
  <si>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</si>
  <si>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</si>
  <si>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</si>
  <si>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</si>
  <si>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</si>
  <si>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</si>
  <si>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</si>
  <si>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</si>
  <si>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</si>
  <si>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</si>
  <si>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</si>
  <si>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</si>
  <si>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</si>
  <si>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</si>
  <si>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</si>
  <si>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</si>
  <si>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</si>
  <si>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</si>
  <si>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</si>
  <si>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</si>
  <si>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</si>
  <si>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</si>
  <si>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</si>
  <si>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</si>
  <si>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</si>
  <si>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</si>
  <si>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</si>
  <si>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</si>
  <si>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</si>
  <si>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</si>
  <si>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</si>
  <si>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</si>
  <si>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</si>
  <si>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</si>
  <si>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</si>
  <si>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</si>
  <si>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</si>
  <si>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</si>
  <si>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</si>
  <si>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</si>
  <si>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</si>
  <si>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</si>
  <si>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</si>
  <si>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</si>
  <si>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</si>
  <si>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</si>
  <si>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</si>
  <si>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</si>
  <si>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</si>
  <si>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</si>
  <si>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</si>
  <si>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</si>
  <si>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</si>
  <si>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</si>
  <si>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</si>
  <si>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</si>
  <si>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</si>
  <si>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</si>
  <si>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</si>
  <si>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</si>
  <si>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</si>
  <si>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</si>
  <si>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</si>
  <si>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</si>
  <si>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</si>
  <si>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</si>
  <si>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</si>
  <si>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</si>
  <si>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</si>
  <si>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</si>
  <si>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</si>
  <si>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</si>
  <si>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</si>
  <si>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</si>
  <si>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</si>
  <si>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</si>
  <si>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</si>
  <si>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</si>
  <si>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</si>
  <si>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</si>
  <si>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</si>
  <si>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</si>
  <si>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</si>
  <si>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</si>
  <si>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</si>
  <si>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</si>
  <si>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</si>
  <si>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</si>
  <si>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</si>
  <si>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</si>
  <si>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</si>
  <si>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</si>
  <si>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</si>
  <si>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</si>
  <si>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</si>
  <si>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</si>
  <si>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</si>
  <si>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</si>
  <si>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</si>
  <si>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</si>
  <si>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</si>
  <si>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</si>
  <si>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</si>
  <si>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</si>
  <si>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</si>
  <si>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</si>
  <si>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</si>
  <si>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</si>
  <si>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</si>
  <si>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</si>
  <si>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</si>
  <si>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</si>
  <si>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</si>
  <si>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</si>
  <si>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</si>
  <si>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</si>
  <si>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</si>
  <si>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</si>
  <si>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</si>
  <si>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</si>
  <si>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</si>
  <si>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</si>
  <si>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</si>
  <si>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</si>
  <si>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</si>
  <si>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</si>
  <si>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</si>
  <si>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</si>
  <si>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</si>
  <si>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</si>
  <si>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</si>
  <si>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</si>
  <si>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Build the external-agent adapter</t>
  </si>
  <si>
    <t>Expose the TrustBench tool services to the agent through its native tool interface (function tools or an MCP server), routed through the policy gateway. Translate run configuration, model settings and step limits; capture the agent's tool calls, final text and errors into the TrustBench trace schema. Keep the agent's own code unmodified.</t>
  </si>
  <si>
    <t>Agent SDK or MCP, src/gateway, TypeScript or Python adapter</t>
  </si>
  <si>
    <t>Adapter tests show every TrustBench tool callable from the agent, traces validating against the TB-004 schema, and a diff proving no change to the agent's source.</t>
  </si>
  <si>
    <t>src/external/; tests/external/adapter/</t>
  </si>
  <si>
    <t>The agent's tool interface cannot carry capability tokens: hold tokens in the adapter process, never in prompts, and enforce at the gateway.</t>
  </si>
  <si>
    <t>TB-064</t>
  </si>
  <si>
    <t>Enforce tool authorization outside the agent</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</si>
  <si>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t>
  </si>
  <si>
    <t>Docker or a sandbox network policy, src/policy, pytest</t>
  </si>
  <si>
    <t>TB-021 capability policy; TB-023 boundary tests</t>
  </si>
  <si>
    <t>Every bypass test is refused and audited; a positive control proves each test can detect a working bypass; no tool effect occurs without a gateway allow decision in the audit log.</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</si>
  <si>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</si>
  <si>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</si>
  <si>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</si>
  <si>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</si>
  <si>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</si>
  <si>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</si>
  <si>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</si>
  <si>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</si>
  <si>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</si>
  <si>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</si>
  <si>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</si>
  <si>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</si>
  <si>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</si>
  <si>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</si>
  <si>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</si>
  <si>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</si>
  <si>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</si>
  <si>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</si>
  <si>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</si>
  <si>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Pre-register the external validation protocol</t>
  </si>
  <si>
    <t>Write an amendment before any external evaluation run: hypotheses, primary endpoints (unsafe committed-effect rate, benign utility), integration-overhead measures, repetitions, models, analysis and stopping rules. Create a new external validation split from fixture families never used in tuning; the sealed core holdout stays untouched.</t>
  </si>
  <si>
    <t>protocol/, scripts/verify-protocol.mjs</t>
  </si>
  <si>
    <t>TB-006 protocol; experiment registry</t>
  </si>
  <si>
    <t>Amendment committed and verified before the first external evaluation run; the new split is disjoint from the core holdout and the tuning families, checked by script.</t>
  </si>
  <si>
    <t>protocol/amendments.md (external validation entry); data/external-splits.json</t>
  </si>
  <si>
    <t>TB-068</t>
  </si>
  <si>
    <t>Build realistic adversarial scenarios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</si>
  <si>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families are assigned to tuning or external validation before any run.</t>
  </si>
  <si>
    <t>data/ fixture builders, attack oracles, src/arms materialization</t>
  </si>
  <si>
    <t>TB-009 fixtures; published attack patterns (cited)</t>
  </si>
  <si>
    <t>Each family has a cited source or rationale, an oracle validated on scripted trajectories, a benign twin, and a recorded split; positive controls succeed against the undefended agent.</t>
  </si>
  <si>
    <t>data/external-attacks.jsonl; data/external-attack-oracles.json; tests/external/attacks/</t>
  </si>
  <si>
    <t>Attacks tuned to defeat or to favour the gateway: freeze them before any defended run and report their source.</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</si>
  <si>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</si>
  <si>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</si>
  <si>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</si>
  <si>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</si>
  <si>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</si>
  <si>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</si>
  <si>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</si>
  <si>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</si>
  <si>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</si>
  <si>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</si>
  <si>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</si>
  <si>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</si>
  <si>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</si>
  <si>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</si>
  <si>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</si>
  <si>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</si>
  <si>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</si>
  <si>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</si>
  <si>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</si>
  <si>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</si>
  <si>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</si>
  <si>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</si>
  <si>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</si>
  <si>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</si>
  <si>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</si>
  <si>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</si>
  <si>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</si>
  <si>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</si>
  <si>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</si>
  <si>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</si>
  <si>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</si>
  <si>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</si>
  <si>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</si>
  <si>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</si>
  <si>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</si>
  <si>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</si>
  <si>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</si>
  <si>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</si>
  <si>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</si>
  <si>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</si>
  <si>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Integration contract (TB-056); gateway and tool services</t>
  </si>
  <si>
    <t>Too few unused fixture families for a fresh split: author new families first (TB-062) and register them before use.</t>
  </si>
  <si>
    <t>External validation split (TB-061), frozen gateway configuration (configs/frozen/)</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</si>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</sst>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80" activePane="bottomRight" state="frozen"/>
      <selection pane="topRight"/>
      <selection pane="bottomLeft"/>
      <selection pane="bottomRight" activeCell="I37" sqref="I37"/>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31</v>
      </c>
      <c r="C5" s="6">
        <f>IF(A5=0,0,B5/A5)</f>
        <v>0.43055555555555558</v>
      </c>
      <c r="D5" s="5">
        <f>COUNTIFS($D$12:$D$83,"Blocked")</f>
        <v>0</v>
      </c>
      <c r="E5" s="5">
        <f>SUM($H$12:$H$83)</f>
        <v>353</v>
      </c>
      <c r="F5" s="5">
        <f>SUMIFS($H$12:$H$83,$D$12:$D$83,"&lt;&gt;Completed")</f>
        <v>214</v>
      </c>
      <c r="G5" s="6">
        <f>COUNTIFS($Q$12:$Q$83,"Core",$D$12:$D$83,"Completed")/COUNTIFS($Q$12:$Q$83,"Core")</f>
        <v>0.57407407407407407</v>
      </c>
      <c r="H5" s="7">
        <f>IF(B7&gt;0,SUMIFS($H$12:$H$83,$Q$12:$Q$83,"Core",$D$12:$D$83,"&lt;&gt;Completed")/B7,"Set hours/week")</f>
        <v>7.833333333333333</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856</v>
      </c>
      <c r="B8" s="9" t="s">
        <v>857</v>
      </c>
      <c r="C8" s="9" t="s">
        <v>858</v>
      </c>
      <c r="D8" s="9" t="s">
        <v>859</v>
      </c>
      <c r="E8" s="9" t="s">
        <v>860</v>
      </c>
      <c r="F8" s="9" t="s">
        <v>861</v>
      </c>
      <c r="G8" s="9" t="s">
        <v>862</v>
      </c>
      <c r="H8" s="9" t="s">
        <v>863</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869</v>
      </c>
      <c r="T42" s="13" t="s">
        <v>870</v>
      </c>
      <c r="U42" s="10">
        <f t="shared" si="1"/>
        <v>1</v>
      </c>
    </row>
    <row r="43" spans="1:21" ht="64" customHeight="1">
      <c r="A43" s="10" t="s">
        <v>328</v>
      </c>
      <c r="B43" s="10" t="s">
        <v>320</v>
      </c>
      <c r="C43" s="10" t="s">
        <v>329</v>
      </c>
      <c r="D43" s="14" t="s">
        <v>288</v>
      </c>
      <c r="E43" s="10" t="s">
        <v>319</v>
      </c>
      <c r="F43" s="10" t="s">
        <v>120</v>
      </c>
      <c r="G43" s="10" t="str">
        <f t="shared" si="0"/>
        <v>Ready</v>
      </c>
      <c r="H43" s="18">
        <v>8</v>
      </c>
      <c r="I43" s="14"/>
      <c r="J43" s="16"/>
      <c r="K43" s="10" t="s">
        <v>330</v>
      </c>
      <c r="L43" s="10" t="s">
        <v>331</v>
      </c>
      <c r="M43" s="10" t="s">
        <v>332</v>
      </c>
      <c r="N43" s="10" t="s">
        <v>333</v>
      </c>
      <c r="O43" s="10" t="s">
        <v>334</v>
      </c>
      <c r="P43" s="10" t="s">
        <v>335</v>
      </c>
      <c r="Q43" s="10" t="s">
        <v>43</v>
      </c>
      <c r="R43" s="10"/>
      <c r="S43" s="14"/>
      <c r="T43" s="14"/>
      <c r="U43" s="10">
        <f t="shared" si="1"/>
        <v>0</v>
      </c>
    </row>
    <row r="44" spans="1:21" ht="64" customHeight="1">
      <c r="A44" s="11" t="s">
        <v>336</v>
      </c>
      <c r="B44" s="11" t="s">
        <v>320</v>
      </c>
      <c r="C44" s="11" t="s">
        <v>337</v>
      </c>
      <c r="D44" s="14" t="s">
        <v>288</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Waiting</v>
      </c>
      <c r="H44" s="18">
        <v>4</v>
      </c>
      <c r="I44" s="14"/>
      <c r="J44" s="16"/>
      <c r="K44" s="11" t="s">
        <v>338</v>
      </c>
      <c r="L44" s="11" t="s">
        <v>339</v>
      </c>
      <c r="M44" s="11" t="s">
        <v>340</v>
      </c>
      <c r="N44" s="11" t="s">
        <v>341</v>
      </c>
      <c r="O44" s="11" t="s">
        <v>342</v>
      </c>
      <c r="P44" s="11" t="s">
        <v>343</v>
      </c>
      <c r="Q44" s="11" t="s">
        <v>43</v>
      </c>
      <c r="R44" s="11"/>
      <c r="S44" s="14"/>
      <c r="T44" s="14"/>
      <c r="U44" s="10">
        <f t="shared" ref="U44:U83" si="3">IF(LEN(S44)&gt;0,1,0)</f>
        <v>0</v>
      </c>
    </row>
    <row r="45" spans="1:21" ht="64" customHeight="1">
      <c r="A45" s="10" t="s">
        <v>344</v>
      </c>
      <c r="B45" s="10" t="s">
        <v>320</v>
      </c>
      <c r="C45" s="10" t="s">
        <v>345</v>
      </c>
      <c r="D45" s="14" t="s">
        <v>288</v>
      </c>
      <c r="E45" s="10" t="s">
        <v>336</v>
      </c>
      <c r="F45" s="10"/>
      <c r="G45" s="10" t="str">
        <f t="shared" si="2"/>
        <v>Waiting</v>
      </c>
      <c r="H45" s="18">
        <v>5</v>
      </c>
      <c r="I45" s="14"/>
      <c r="J45" s="16"/>
      <c r="K45" s="10" t="s">
        <v>346</v>
      </c>
      <c r="L45" s="10" t="s">
        <v>347</v>
      </c>
      <c r="M45" s="10" t="s">
        <v>348</v>
      </c>
      <c r="N45" s="10" t="s">
        <v>349</v>
      </c>
      <c r="O45" s="10" t="s">
        <v>350</v>
      </c>
      <c r="P45" s="10" t="s">
        <v>351</v>
      </c>
      <c r="Q45" s="10" t="s">
        <v>43</v>
      </c>
      <c r="R45" s="10"/>
      <c r="S45" s="14"/>
      <c r="T45" s="14"/>
      <c r="U45" s="10">
        <f t="shared" si="3"/>
        <v>0</v>
      </c>
    </row>
    <row r="46" spans="1:21" ht="64" customHeight="1">
      <c r="A46" s="11" t="s">
        <v>352</v>
      </c>
      <c r="B46" s="11" t="s">
        <v>320</v>
      </c>
      <c r="C46" s="11" t="s">
        <v>353</v>
      </c>
      <c r="D46" s="14" t="s">
        <v>288</v>
      </c>
      <c r="E46" s="11" t="s">
        <v>344</v>
      </c>
      <c r="F46" s="11"/>
      <c r="G46" s="11" t="str">
        <f t="shared" si="2"/>
        <v>Waiting</v>
      </c>
      <c r="H46" s="18">
        <v>4</v>
      </c>
      <c r="I46" s="14"/>
      <c r="J46" s="16"/>
      <c r="K46" s="11" t="s">
        <v>354</v>
      </c>
      <c r="L46" s="11" t="s">
        <v>355</v>
      </c>
      <c r="M46" s="11" t="s">
        <v>356</v>
      </c>
      <c r="N46" s="11" t="s">
        <v>357</v>
      </c>
      <c r="O46" s="11" t="s">
        <v>358</v>
      </c>
      <c r="P46" s="11" t="s">
        <v>359</v>
      </c>
      <c r="Q46" s="11" t="s">
        <v>43</v>
      </c>
      <c r="R46" s="11"/>
      <c r="S46" s="14"/>
      <c r="T46" s="14"/>
      <c r="U46" s="10">
        <f t="shared" si="3"/>
        <v>0</v>
      </c>
    </row>
    <row r="47" spans="1:21" ht="64" customHeight="1">
      <c r="A47" s="10" t="s">
        <v>360</v>
      </c>
      <c r="B47" s="10" t="s">
        <v>320</v>
      </c>
      <c r="C47" s="10" t="s">
        <v>361</v>
      </c>
      <c r="D47" s="14" t="s">
        <v>288</v>
      </c>
      <c r="E47" s="10" t="s">
        <v>352</v>
      </c>
      <c r="F47" s="10"/>
      <c r="G47" s="10" t="str">
        <f t="shared" si="2"/>
        <v>Waiting</v>
      </c>
      <c r="H47" s="18">
        <v>7</v>
      </c>
      <c r="I47" s="14"/>
      <c r="J47" s="16"/>
      <c r="K47" s="10" t="s">
        <v>362</v>
      </c>
      <c r="L47" s="10" t="s">
        <v>363</v>
      </c>
      <c r="M47" s="10" t="s">
        <v>364</v>
      </c>
      <c r="N47" s="10" t="s">
        <v>365</v>
      </c>
      <c r="O47" s="10" t="s">
        <v>366</v>
      </c>
      <c r="P47" s="10" t="s">
        <v>367</v>
      </c>
      <c r="Q47" s="10" t="s">
        <v>43</v>
      </c>
      <c r="R47" s="10"/>
      <c r="S47" s="14"/>
      <c r="T47" s="14"/>
      <c r="U47" s="10">
        <f t="shared" si="3"/>
        <v>0</v>
      </c>
    </row>
    <row r="48" spans="1:21" ht="64" customHeight="1">
      <c r="A48" s="12" t="s">
        <v>368</v>
      </c>
      <c r="B48" s="12" t="s">
        <v>369</v>
      </c>
      <c r="C48" s="12" t="s">
        <v>370</v>
      </c>
      <c r="D48" s="13" t="s">
        <v>288</v>
      </c>
      <c r="E48" s="12" t="s">
        <v>360</v>
      </c>
      <c r="F48" s="12"/>
      <c r="G48" s="12" t="str">
        <f t="shared" si="2"/>
        <v>Waiting</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Waiting</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761</v>
      </c>
      <c r="C66" s="10" t="s">
        <v>762</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763</v>
      </c>
      <c r="L66" s="10" t="s">
        <v>764</v>
      </c>
      <c r="M66" s="10" t="s">
        <v>765</v>
      </c>
      <c r="N66" s="10" t="s">
        <v>766</v>
      </c>
      <c r="O66" s="10" t="s">
        <v>767</v>
      </c>
      <c r="P66" s="10" t="s">
        <v>768</v>
      </c>
      <c r="Q66" s="10" t="s">
        <v>769</v>
      </c>
      <c r="R66" s="10" t="s">
        <v>100</v>
      </c>
      <c r="S66" s="14"/>
      <c r="T66" s="14"/>
      <c r="U66" s="10">
        <f t="shared" ref="U66:U77" si="5">IF(LEN(S66)&gt;0,1,0)</f>
        <v>0</v>
      </c>
    </row>
    <row r="67" spans="1:21" ht="64" customHeight="1">
      <c r="A67" s="10" t="s">
        <v>524</v>
      </c>
      <c r="B67" s="10" t="s">
        <v>761</v>
      </c>
      <c r="C67" s="10" t="s">
        <v>771</v>
      </c>
      <c r="D67" s="14" t="s">
        <v>288</v>
      </c>
      <c r="E67" s="10" t="s">
        <v>515</v>
      </c>
      <c r="F67" s="10" t="s">
        <v>45</v>
      </c>
      <c r="G67" s="10" t="str">
        <f t="shared" si="4"/>
        <v>Waiting</v>
      </c>
      <c r="H67" s="18">
        <v>4</v>
      </c>
      <c r="I67" s="14"/>
      <c r="J67" s="16"/>
      <c r="K67" s="10" t="s">
        <v>772</v>
      </c>
      <c r="L67" s="10" t="s">
        <v>773</v>
      </c>
      <c r="M67" s="10" t="s">
        <v>774</v>
      </c>
      <c r="N67" s="10" t="s">
        <v>775</v>
      </c>
      <c r="O67" s="10" t="s">
        <v>776</v>
      </c>
      <c r="P67" s="10" t="s">
        <v>777</v>
      </c>
      <c r="Q67" s="10" t="s">
        <v>769</v>
      </c>
      <c r="R67" s="10" t="s">
        <v>778</v>
      </c>
      <c r="S67" s="14"/>
      <c r="T67" s="14"/>
      <c r="U67" s="10">
        <f t="shared" si="5"/>
        <v>0</v>
      </c>
    </row>
    <row r="68" spans="1:21" ht="64" customHeight="1">
      <c r="A68" s="10" t="s">
        <v>532</v>
      </c>
      <c r="B68" s="10" t="s">
        <v>761</v>
      </c>
      <c r="C68" s="10" t="s">
        <v>780</v>
      </c>
      <c r="D68" s="14" t="s">
        <v>288</v>
      </c>
      <c r="E68" s="10" t="s">
        <v>524</v>
      </c>
      <c r="F68" s="10" t="s">
        <v>255</v>
      </c>
      <c r="G68" s="10" t="str">
        <f t="shared" si="4"/>
        <v>Waiting</v>
      </c>
      <c r="H68" s="18">
        <v>8</v>
      </c>
      <c r="I68" s="14"/>
      <c r="J68" s="16"/>
      <c r="K68" s="10" t="s">
        <v>781</v>
      </c>
      <c r="L68" s="10" t="s">
        <v>782</v>
      </c>
      <c r="M68" s="10" t="s">
        <v>865</v>
      </c>
      <c r="N68" s="10" t="s">
        <v>783</v>
      </c>
      <c r="O68" s="10" t="s">
        <v>784</v>
      </c>
      <c r="P68" s="10" t="s">
        <v>785</v>
      </c>
      <c r="Q68" s="10" t="s">
        <v>769</v>
      </c>
      <c r="R68" s="10" t="s">
        <v>100</v>
      </c>
      <c r="S68" s="14"/>
      <c r="T68" s="14"/>
      <c r="U68" s="10">
        <f t="shared" si="5"/>
        <v>0</v>
      </c>
    </row>
    <row r="69" spans="1:21" ht="64" customHeight="1">
      <c r="A69" s="10" t="s">
        <v>540</v>
      </c>
      <c r="B69" s="10" t="s">
        <v>761</v>
      </c>
      <c r="C69" s="10" t="s">
        <v>787</v>
      </c>
      <c r="D69" s="14" t="s">
        <v>288</v>
      </c>
      <c r="E69" s="10" t="s">
        <v>532</v>
      </c>
      <c r="F69" s="10" t="s">
        <v>225</v>
      </c>
      <c r="G69" s="10" t="str">
        <f t="shared" si="4"/>
        <v>Waiting</v>
      </c>
      <c r="H69" s="18">
        <v>6</v>
      </c>
      <c r="I69" s="14"/>
      <c r="J69" s="16"/>
      <c r="K69" s="10" t="s">
        <v>788</v>
      </c>
      <c r="L69" s="10" t="s">
        <v>789</v>
      </c>
      <c r="M69" s="10" t="s">
        <v>790</v>
      </c>
      <c r="N69" s="10" t="s">
        <v>791</v>
      </c>
      <c r="O69" s="10" t="s">
        <v>792</v>
      </c>
      <c r="P69" s="10" t="s">
        <v>793</v>
      </c>
      <c r="Q69" s="10" t="s">
        <v>769</v>
      </c>
      <c r="R69" s="10" t="s">
        <v>223</v>
      </c>
      <c r="S69" s="14"/>
      <c r="T69" s="14"/>
      <c r="U69" s="10">
        <f t="shared" si="5"/>
        <v>0</v>
      </c>
    </row>
    <row r="70" spans="1:21" ht="64" customHeight="1">
      <c r="A70" s="10" t="s">
        <v>548</v>
      </c>
      <c r="B70" s="10" t="s">
        <v>761</v>
      </c>
      <c r="C70" s="10" t="s">
        <v>795</v>
      </c>
      <c r="D70" s="14" t="s">
        <v>288</v>
      </c>
      <c r="E70" s="10" t="s">
        <v>532</v>
      </c>
      <c r="F70" s="10" t="s">
        <v>138</v>
      </c>
      <c r="G70" s="10" t="str">
        <f t="shared" si="4"/>
        <v>Waiting</v>
      </c>
      <c r="H70" s="18">
        <v>5</v>
      </c>
      <c r="I70" s="14"/>
      <c r="J70" s="16"/>
      <c r="K70" s="10" t="s">
        <v>796</v>
      </c>
      <c r="L70" s="10" t="s">
        <v>797</v>
      </c>
      <c r="M70" s="10" t="s">
        <v>798</v>
      </c>
      <c r="N70" s="10" t="s">
        <v>799</v>
      </c>
      <c r="O70" s="10" t="s">
        <v>800</v>
      </c>
      <c r="P70" s="10" t="s">
        <v>801</v>
      </c>
      <c r="Q70" s="10" t="s">
        <v>769</v>
      </c>
      <c r="R70" s="10" t="s">
        <v>100</v>
      </c>
      <c r="S70" s="14"/>
      <c r="T70" s="14"/>
      <c r="U70" s="10">
        <f t="shared" si="5"/>
        <v>0</v>
      </c>
    </row>
    <row r="71" spans="1:21" ht="64" customHeight="1">
      <c r="A71" s="10" t="s">
        <v>556</v>
      </c>
      <c r="B71" s="10" t="s">
        <v>761</v>
      </c>
      <c r="C71" s="10" t="s">
        <v>803</v>
      </c>
      <c r="D71" s="14" t="s">
        <v>288</v>
      </c>
      <c r="E71" s="10" t="s">
        <v>540</v>
      </c>
      <c r="F71" s="10" t="s">
        <v>548</v>
      </c>
      <c r="G71" s="10" t="str">
        <f t="shared" si="4"/>
        <v>Waiting</v>
      </c>
      <c r="H71" s="18">
        <v>4</v>
      </c>
      <c r="I71" s="14"/>
      <c r="J71" s="16"/>
      <c r="K71" s="10" t="s">
        <v>804</v>
      </c>
      <c r="L71" s="10" t="s">
        <v>805</v>
      </c>
      <c r="M71" s="10" t="s">
        <v>806</v>
      </c>
      <c r="N71" s="10" t="s">
        <v>807</v>
      </c>
      <c r="O71" s="10" t="s">
        <v>808</v>
      </c>
      <c r="P71" s="10" t="s">
        <v>809</v>
      </c>
      <c r="Q71" s="10" t="s">
        <v>769</v>
      </c>
      <c r="R71" s="10" t="s">
        <v>100</v>
      </c>
      <c r="S71" s="14"/>
      <c r="T71" s="14"/>
      <c r="U71" s="10">
        <f t="shared" si="5"/>
        <v>0</v>
      </c>
    </row>
    <row r="72" spans="1:21" ht="64" customHeight="1">
      <c r="A72" s="10" t="s">
        <v>760</v>
      </c>
      <c r="B72" s="10" t="s">
        <v>761</v>
      </c>
      <c r="C72" s="10" t="s">
        <v>811</v>
      </c>
      <c r="D72" s="14" t="s">
        <v>288</v>
      </c>
      <c r="E72" s="10" t="s">
        <v>556</v>
      </c>
      <c r="F72" s="10" t="s">
        <v>82</v>
      </c>
      <c r="G72" s="10" t="str">
        <f t="shared" si="4"/>
        <v>Waiting</v>
      </c>
      <c r="H72" s="18">
        <v>4</v>
      </c>
      <c r="I72" s="14"/>
      <c r="J72" s="16"/>
      <c r="K72" s="10" t="s">
        <v>812</v>
      </c>
      <c r="L72" s="10" t="s">
        <v>813</v>
      </c>
      <c r="M72" s="10" t="s">
        <v>814</v>
      </c>
      <c r="N72" s="10" t="s">
        <v>815</v>
      </c>
      <c r="O72" s="10" t="s">
        <v>816</v>
      </c>
      <c r="P72" s="10" t="s">
        <v>866</v>
      </c>
      <c r="Q72" s="10" t="s">
        <v>769</v>
      </c>
      <c r="R72" s="10" t="s">
        <v>778</v>
      </c>
      <c r="S72" s="14"/>
      <c r="T72" s="14"/>
      <c r="U72" s="10">
        <f t="shared" si="5"/>
        <v>0</v>
      </c>
    </row>
    <row r="73" spans="1:21" ht="64" customHeight="1">
      <c r="A73" s="10" t="s">
        <v>770</v>
      </c>
      <c r="B73" s="10" t="s">
        <v>761</v>
      </c>
      <c r="C73" s="10" t="s">
        <v>818</v>
      </c>
      <c r="D73" s="14" t="s">
        <v>288</v>
      </c>
      <c r="E73" s="10" t="s">
        <v>760</v>
      </c>
      <c r="F73" s="10" t="s">
        <v>111</v>
      </c>
      <c r="G73" s="10" t="str">
        <f t="shared" si="4"/>
        <v>Waiting</v>
      </c>
      <c r="H73" s="18">
        <v>8</v>
      </c>
      <c r="I73" s="14"/>
      <c r="J73" s="16"/>
      <c r="K73" s="10" t="s">
        <v>819</v>
      </c>
      <c r="L73" s="10" t="s">
        <v>820</v>
      </c>
      <c r="M73" s="10" t="s">
        <v>821</v>
      </c>
      <c r="N73" s="10" t="s">
        <v>822</v>
      </c>
      <c r="O73" s="10" t="s">
        <v>823</v>
      </c>
      <c r="P73" s="10" t="s">
        <v>824</v>
      </c>
      <c r="Q73" s="10" t="s">
        <v>769</v>
      </c>
      <c r="R73" s="10" t="s">
        <v>778</v>
      </c>
      <c r="S73" s="14"/>
      <c r="T73" s="14"/>
      <c r="U73" s="10">
        <f t="shared" si="5"/>
        <v>0</v>
      </c>
    </row>
    <row r="74" spans="1:21" ht="64" customHeight="1">
      <c r="A74" s="10" t="s">
        <v>779</v>
      </c>
      <c r="B74" s="10" t="s">
        <v>761</v>
      </c>
      <c r="C74" s="10" t="s">
        <v>826</v>
      </c>
      <c r="D74" s="14" t="s">
        <v>288</v>
      </c>
      <c r="E74" s="10" t="s">
        <v>556</v>
      </c>
      <c r="F74" s="10" t="s">
        <v>265</v>
      </c>
      <c r="G74" s="10" t="str">
        <f t="shared" si="4"/>
        <v>Waiting</v>
      </c>
      <c r="H74" s="18">
        <v>5</v>
      </c>
      <c r="I74" s="14"/>
      <c r="J74" s="16"/>
      <c r="K74" s="10" t="s">
        <v>827</v>
      </c>
      <c r="L74" s="10" t="s">
        <v>828</v>
      </c>
      <c r="M74" s="10" t="s">
        <v>829</v>
      </c>
      <c r="N74" s="10" t="s">
        <v>830</v>
      </c>
      <c r="O74" s="10" t="s">
        <v>831</v>
      </c>
      <c r="P74" s="10" t="s">
        <v>832</v>
      </c>
      <c r="Q74" s="10" t="s">
        <v>769</v>
      </c>
      <c r="R74" s="10" t="s">
        <v>175</v>
      </c>
      <c r="S74" s="14"/>
      <c r="T74" s="14"/>
      <c r="U74" s="10">
        <f t="shared" si="5"/>
        <v>0</v>
      </c>
    </row>
    <row r="75" spans="1:21" ht="64" customHeight="1">
      <c r="A75" s="10" t="s">
        <v>786</v>
      </c>
      <c r="B75" s="10" t="s">
        <v>761</v>
      </c>
      <c r="C75" s="10" t="s">
        <v>834</v>
      </c>
      <c r="D75" s="14" t="s">
        <v>288</v>
      </c>
      <c r="E75" s="10" t="s">
        <v>770</v>
      </c>
      <c r="F75" s="10" t="s">
        <v>779</v>
      </c>
      <c r="G75" s="10" t="str">
        <f t="shared" si="4"/>
        <v>Waiting</v>
      </c>
      <c r="H75" s="18">
        <v>10</v>
      </c>
      <c r="I75" s="14"/>
      <c r="J75" s="16"/>
      <c r="K75" s="10" t="s">
        <v>835</v>
      </c>
      <c r="L75" s="10" t="s">
        <v>836</v>
      </c>
      <c r="M75" s="10" t="s">
        <v>867</v>
      </c>
      <c r="N75" s="10" t="s">
        <v>837</v>
      </c>
      <c r="O75" s="10" t="s">
        <v>838</v>
      </c>
      <c r="P75" s="10" t="s">
        <v>839</v>
      </c>
      <c r="Q75" s="10" t="s">
        <v>769</v>
      </c>
      <c r="R75" s="10" t="s">
        <v>100</v>
      </c>
      <c r="S75" s="14"/>
      <c r="T75" s="14"/>
      <c r="U75" s="10">
        <f t="shared" si="5"/>
        <v>0</v>
      </c>
    </row>
    <row r="76" spans="1:21" ht="64" customHeight="1">
      <c r="A76" s="10" t="s">
        <v>794</v>
      </c>
      <c r="B76" s="10" t="s">
        <v>761</v>
      </c>
      <c r="C76" s="10" t="s">
        <v>841</v>
      </c>
      <c r="D76" s="14" t="s">
        <v>288</v>
      </c>
      <c r="E76" s="10" t="s">
        <v>786</v>
      </c>
      <c r="F76" s="10" t="s">
        <v>344</v>
      </c>
      <c r="G76" s="10" t="str">
        <f t="shared" si="4"/>
        <v>Waiting</v>
      </c>
      <c r="H76" s="18">
        <v>5</v>
      </c>
      <c r="I76" s="14"/>
      <c r="J76" s="16"/>
      <c r="K76" s="10" t="s">
        <v>842</v>
      </c>
      <c r="L76" s="10" t="s">
        <v>843</v>
      </c>
      <c r="M76" s="10" t="s">
        <v>844</v>
      </c>
      <c r="N76" s="10" t="s">
        <v>845</v>
      </c>
      <c r="O76" s="10" t="s">
        <v>846</v>
      </c>
      <c r="P76" s="10" t="s">
        <v>847</v>
      </c>
      <c r="Q76" s="10" t="s">
        <v>769</v>
      </c>
      <c r="R76" s="10" t="s">
        <v>100</v>
      </c>
      <c r="S76" s="14"/>
      <c r="T76" s="14"/>
      <c r="U76" s="10">
        <f t="shared" si="5"/>
        <v>0</v>
      </c>
    </row>
    <row r="77" spans="1:21" ht="64" customHeight="1">
      <c r="A77" s="10" t="s">
        <v>802</v>
      </c>
      <c r="B77" s="10" t="s">
        <v>761</v>
      </c>
      <c r="C77" s="10" t="s">
        <v>849</v>
      </c>
      <c r="D77" s="14" t="s">
        <v>288</v>
      </c>
      <c r="E77" s="10" t="s">
        <v>794</v>
      </c>
      <c r="F77" s="10"/>
      <c r="G77" s="10" t="str">
        <f t="shared" si="4"/>
        <v>Waiting</v>
      </c>
      <c r="H77" s="18">
        <v>5</v>
      </c>
      <c r="I77" s="14"/>
      <c r="J77" s="16"/>
      <c r="K77" s="10" t="s">
        <v>850</v>
      </c>
      <c r="L77" s="10" t="s">
        <v>851</v>
      </c>
      <c r="M77" s="10" t="s">
        <v>868</v>
      </c>
      <c r="N77" s="10" t="s">
        <v>852</v>
      </c>
      <c r="O77" s="10" t="s">
        <v>853</v>
      </c>
      <c r="P77" s="10" t="s">
        <v>854</v>
      </c>
      <c r="Q77" s="10" t="s">
        <v>769</v>
      </c>
      <c r="R77" s="10" t="s">
        <v>778</v>
      </c>
      <c r="S77" s="14"/>
      <c r="T77" s="14"/>
      <c r="U77" s="10">
        <f t="shared" si="5"/>
        <v>0</v>
      </c>
    </row>
    <row r="78" spans="1:21" ht="64" customHeight="1">
      <c r="A78" s="12" t="s">
        <v>810</v>
      </c>
      <c r="B78" s="12" t="s">
        <v>855</v>
      </c>
      <c r="C78" s="12" t="s">
        <v>516</v>
      </c>
      <c r="D78" s="13" t="s">
        <v>288</v>
      </c>
      <c r="E78" s="12" t="s">
        <v>802</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817</v>
      </c>
      <c r="B79" s="10" t="s">
        <v>855</v>
      </c>
      <c r="C79" s="10" t="s">
        <v>525</v>
      </c>
      <c r="D79" s="14" t="s">
        <v>288</v>
      </c>
      <c r="E79" s="10" t="s">
        <v>802</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825</v>
      </c>
      <c r="B80" s="11" t="s">
        <v>855</v>
      </c>
      <c r="C80" s="11" t="s">
        <v>533</v>
      </c>
      <c r="D80" s="14" t="s">
        <v>288</v>
      </c>
      <c r="E80" s="11" t="s">
        <v>802</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833</v>
      </c>
      <c r="B81" s="10" t="s">
        <v>855</v>
      </c>
      <c r="C81" s="10" t="s">
        <v>541</v>
      </c>
      <c r="D81" s="14" t="s">
        <v>288</v>
      </c>
      <c r="E81" s="10" t="s">
        <v>802</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840</v>
      </c>
      <c r="B82" s="11" t="s">
        <v>855</v>
      </c>
      <c r="C82" s="11" t="s">
        <v>549</v>
      </c>
      <c r="D82" s="14" t="s">
        <v>288</v>
      </c>
      <c r="E82" s="11" t="s">
        <v>802</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848</v>
      </c>
      <c r="B83" s="10" t="s">
        <v>855</v>
      </c>
      <c r="C83" s="10" t="s">
        <v>557</v>
      </c>
      <c r="D83" s="14" t="s">
        <v>288</v>
      </c>
      <c r="E83" s="10" t="s">
        <v>810</v>
      </c>
      <c r="F83" s="10" t="s">
        <v>840</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1</v>
      </c>
      <c r="D96" s="10">
        <f t="shared" si="8"/>
        <v>5</v>
      </c>
      <c r="E96" s="10">
        <f t="shared" si="9"/>
        <v>0</v>
      </c>
      <c r="F96" s="10">
        <f t="shared" si="10"/>
        <v>0</v>
      </c>
      <c r="G96" s="21">
        <f t="shared" si="11"/>
        <v>0.16666666666666666</v>
      </c>
      <c r="H96" s="10">
        <f t="shared" si="12"/>
        <v>33</v>
      </c>
      <c r="I96" s="10">
        <f t="shared" si="13"/>
        <v>28</v>
      </c>
      <c r="J96" s="10">
        <f t="shared" si="14"/>
        <v>1</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0</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0</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761</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68</v>
      </c>
      <c r="I100" s="11"/>
      <c r="J100" s="11"/>
      <c r="K100" s="1"/>
      <c r="L100" s="1"/>
      <c r="M100" s="1"/>
      <c r="N100" s="1"/>
      <c r="O100" s="1"/>
      <c r="P100" s="1"/>
      <c r="Q100" s="1"/>
      <c r="R100" s="1"/>
      <c r="S100" s="1"/>
      <c r="T100" s="1"/>
      <c r="U100" s="1"/>
    </row>
    <row r="101" spans="1:21" ht="38" customHeight="1">
      <c r="A101" s="10" t="s">
        <v>855</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864</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2026-10-16T17:17:42Z</dcterms:modified>
</cp:coreProperties>
</file>