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9E0C7418-404D-2149-AFFF-4AEE0D65C6F8}" xr6:coauthVersionLast="47" xr6:coauthVersionMax="47" xr10:uidLastSave="{00000000-0000-0000-0000-000000000000}"/>
  <bookViews>
    <workbookView minimized="1"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2" i="1"/>
  <c r="G73" i="1"/>
  <c r="G74"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<sst xmlns="http://schemas.openxmlformats.org/spreadsheetml/2006/main" count="1274" uniqueCount="928">
  <si>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</si>
  <si>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</si>
  <si>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</si>
  <si>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</si>
  <si>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</si>
  <si>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</si>
  <si>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</si>
  <si>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</si>
  <si>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</si>
  <si>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</si>
  <si>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</si>
  <si>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</si>
  <si>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</si>
  <si>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</si>
  <si>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</si>
  <si>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</si>
  <si>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</si>
  <si>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</si>
  <si>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</si>
  <si>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</si>
  <si>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</si>
  <si>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</si>
  <si>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</si>
  <si>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</si>
  <si>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</si>
  <si>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</si>
  <si>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</si>
  <si>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</si>
  <si>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</si>
  <si>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</si>
  <si>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</si>
  <si>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</si>
  <si>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</si>
  <si>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</si>
  <si>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</si>
  <si>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</si>
  <si>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</si>
  <si>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</si>
  <si>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</si>
  <si>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</si>
  <si>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</si>
  <si>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</si>
  <si>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</si>
  <si>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</si>
  <si>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</si>
  <si>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</si>
  <si>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</si>
  <si>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</si>
  <si>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</si>
  <si>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</si>
  <si>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</si>
  <si>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</si>
  <si>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</si>
  <si>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</si>
  <si>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</si>
  <si>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</si>
  <si>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</si>
  <si>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</si>
  <si>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</si>
  <si>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</si>
  <si>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</si>
  <si>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</si>
  <si>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</si>
  <si>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</si>
  <si>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</si>
  <si>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</si>
  <si>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</si>
  <si>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</si>
  <si>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</si>
  <si>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</si>
  <si>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</si>
  <si>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</si>
  <si>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</si>
  <si>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</si>
  <si>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</si>
  <si>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</si>
  <si>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</si>
  <si>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</si>
  <si>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</si>
  <si>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</si>
  <si>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</si>
  <si>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</si>
  <si>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</si>
  <si>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</si>
  <si>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</si>
  <si>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</si>
  <si>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</si>
  <si>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</si>
  <si>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</si>
  <si>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</si>
  <si>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</si>
  <si>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</si>
  <si>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</si>
  <si>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</si>
  <si>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</si>
  <si>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</si>
  <si>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</si>
  <si>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</si>
  <si>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</si>
  <si>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</si>
  <si>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</si>
  <si>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</si>
  <si>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</si>
  <si>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</si>
  <si>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</si>
  <si>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</si>
  <si>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</si>
  <si>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</si>
  <si>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</si>
  <si>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</si>
  <si>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</si>
  <si>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</si>
  <si>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</si>
  <si>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</si>
  <si>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</si>
  <si>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</si>
  <si>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</si>
  <si>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</si>
  <si>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</si>
  <si>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</si>
  <si>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</si>
  <si>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</si>
  <si>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</si>
  <si>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</si>
  <si>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</si>
  <si>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</si>
  <si>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</si>
  <si>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</si>
  <si>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</si>
  <si>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</si>
  <si>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</si>
  <si>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</si>
  <si>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</si>
  <si>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</si>
  <si>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</si>
  <si>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</si>
  <si>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</si>
  <si>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</si>
  <si>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</si>
  <si>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</si>
  <si>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</si>
  <si>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</si>
  <si>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</si>
  <si>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</si>
  <si>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</si>
  <si>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</si>
  <si>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</si>
  <si>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</si>
  <si>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</si>
  <si>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</si>
  <si>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</si>
  <si>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</si>
  <si>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</si>
  <si>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</si>
  <si>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</si>
  <si>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</si>
  <si>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</si>
  <si>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</si>
  <si>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</si>
  <si>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</si>
  <si>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</si>
  <si>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</si>
  <si>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</si>
  <si>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</si>
  <si>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</si>
  <si>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</si>
  <si>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</si>
  <si>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</si>
  <si>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</si>
  <si>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</si>
  <si>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</si>
  <si>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</si>
  <si>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</si>
  <si>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</si>
  <si>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</si>
  <si>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</si>
  <si>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</si>
  <si>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</si>
  <si>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</si>
  <si>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</si>
  <si>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</si>
  <si>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</si>
  <si>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</si>
  <si>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</si>
  <si>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</si>
  <si>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</si>
  <si>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</si>
  <si>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</si>
  <si>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</si>
  <si>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</si>
  <si>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</si>
  <si>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</si>
  <si>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</si>
  <si>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</si>
  <si>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</si>
  <si>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</si>
  <si>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</si>
  <si>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</si>
  <si>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</si>
  <si>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</si>
  <si>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</si>
  <si>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</si>
  <si>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</si>
  <si>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</si>
  <si>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</si>
  <si>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</si>
  <si>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</si>
  <si>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</si>
  <si>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</si>
  <si>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</si>
  <si>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</si>
  <si>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</si>
  <si>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</si>
  <si>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</si>
  <si>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</si>
  <si>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</si>
  <si>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</si>
  <si>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</si>
  <si>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</si>
  <si>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</si>
  <si>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</si>
  <si>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</si>
  <si>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</si>
  <si>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</si>
  <si>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</si>
  <si>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</si>
  <si>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</si>
  <si>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</si>
  <si>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</si>
  <si>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</si>
  <si>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</si>
  <si>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</si>
  <si>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</si>
  <si>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</si>
  <si>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</si>
  <si>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</si>
  <si>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</si>
  <si>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</si>
  <si>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</si>
  <si>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</si>
  <si>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</si>
  <si>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</si>
  <si>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</si>
  <si>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</si>
  <si>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</si>
  <si>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</si>
  <si>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</si>
  <si>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</si>
  <si>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</si>
  <si>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</si>
  <si>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</si>
  <si>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</si>
  <si>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</si>
  <si>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</si>
  <si>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</si>
  <si>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</si>
  <si>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</si>
  <si>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</si>
  <si>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</si>
  <si>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</si>
  <si>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</si>
  <si>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</si>
  <si>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</si>
  <si>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</si>
  <si>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</si>
  <si>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</si>
  <si>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</si>
  <si>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</si>
  <si>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</si>
  <si>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</si>
  <si>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</si>
  <si>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</si>
  <si>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</si>
  <si>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</si>
  <si>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</si>
  <si>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</si>
  <si>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</si>
  <si>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</si>
  <si>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</si>
  <si>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</si>
  <si>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</si>
  <si>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</si>
  <si>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</si>
  <si>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</si>
  <si>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</si>
  <si>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</si>
  <si>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</si>
  <si>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</si>
  <si>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</si>
  <si>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</si>
  <si>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</si>
  <si>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</si>
  <si>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</si>
  <si>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</si>
  <si>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</si>
  <si>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</si>
  <si>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</si>
  <si>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</si>
  <si>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</si>
  <si>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</si>
  <si>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</si>
  <si>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</si>
  <si>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</si>
  <si>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</si>
  <si>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</si>
  <si>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</si>
  <si>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</si>
  <si>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</si>
  <si>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</si>
  <si>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</si>
  <si>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</si>
  <si>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</si>
  <si>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</si>
  <si>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</si>
  <si>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</si>
  <si>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</si>
  <si>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</si>
  <si>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</si>
  <si>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</si>
  <si>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</si>
  <si>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</si>
  <si>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</si>
  <si>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</si>
  <si>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</si>
  <si>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</si>
  <si>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</si>
  <si>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</si>
  <si>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</si>
  <si>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</si>
  <si>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</si>
  <si>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</si>
  <si>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</si>
  <si>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</si>
  <si>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</si>
  <si>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</si>
  <si>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</si>
  <si>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</si>
  <si>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</si>
  <si>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</si>
  <si>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</si>
  <si>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</si>
  <si>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</si>
  <si>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</si>
  <si>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</si>
  <si>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</si>
  <si>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</si>
  <si>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</si>
  <si>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</si>
  <si>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</si>
  <si>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</si>
  <si>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</si>
  <si>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</si>
  <si>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</si>
  <si>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</si>
  <si>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</si>
  <si>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</si>
  <si>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</si>
  <si>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</si>
  <si>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</si>
  <si>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</si>
  <si>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</si>
  <si>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</si>
  <si>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</si>
  <si>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</si>
  <si>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</si>
  <si>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</si>
  <si>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</si>
  <si>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</si>
  <si>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</si>
  <si>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</si>
  <si>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</si>
  <si>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</si>
  <si>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</si>
  <si>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</si>
  <si>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</si>
  <si>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</si>
  <si>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</si>
  <si>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</si>
  <si>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</si>
  <si>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</si>
  <si>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</si>
  <si>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</si>
  <si>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</si>
  <si>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</si>
  <si>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</si>
  <si>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</si>
  <si>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</si>
  <si>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</si>
  <si>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</si>
  <si>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</si>
  <si>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</si>
  <si>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</si>
  <si>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</si>
  <si>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</si>
  <si>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</si>
  <si>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</si>
  <si>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</si>
  <si>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</si>
  <si>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</si>
  <si>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</si>
  <si>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</si>
  <si>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</si>
  <si>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</si>
  <si>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</si>
  <si>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</si>
  <si>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</si>
  <si>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</si>
  <si>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</si>
  <si>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</si>
  <si>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</si>
  <si>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</si>
  <si>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</si>
  <si>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</si>
  <si>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</si>
  <si>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</si>
  <si>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</si>
  <si>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</si>
  <si>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</si>
  <si>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</si>
  <si>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</si>
  <si>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</si>
  <si>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</si>
  <si>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</si>
  <si>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</si>
  <si>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</si>
  <si>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</si>
  <si>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</si>
  <si>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</si>
  <si>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</si>
  <si>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</si>
  <si>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</si>
  <si>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</si>
  <si>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</si>
  <si>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</si>
  <si>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</si>
  <si>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</si>
  <si>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</si>
  <si>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</si>
  <si>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</si>
  <si>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</si>
  <si>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</si>
  <si>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</si>
  <si>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</si>
  <si>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</si>
  <si>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</si>
  <si>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</si>
  <si>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</si>
  <si>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</si>
  <si>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</si>
  <si>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</si>
  <si>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</si>
  <si>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</si>
  <si>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</si>
  <si>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</si>
  <si>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</si>
  <si>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</si>
  <si>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</si>
  <si>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</si>
  <si>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</si>
  <si>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</si>
  <si>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</si>
  <si>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</si>
  <si>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</si>
  <si>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</si>
  <si>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</si>
  <si>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</si>
  <si>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</si>
  <si>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</si>
  <si>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</si>
  <si>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</si>
  <si>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</si>
  <si>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</si>
  <si>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</si>
  <si>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</si>
  <si>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</si>
  <si>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</si>
  <si>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</si>
  <si>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</si>
  <si>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</si>
  <si>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</si>
  <si>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</si>
  <si>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</si>
  <si>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</si>
  <si>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</si>
  <si>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</si>
  <si>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</si>
  <si>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</si>
  <si>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</si>
  <si>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</si>
  <si>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</si>
  <si>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</si>
  <si>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</si>
  <si>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</si>
  <si>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</si>
  <si>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</si>
  <si>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</si>
  <si>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</si>
  <si>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</si>
  <si>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</si>
  <si>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</si>
  <si>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</si>
  <si>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</si>
  <si>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</si>
  <si>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</si>
  <si>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</si>
  <si>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</si>
  <si>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</si>
  <si>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</si>
  <si>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</si>
  <si>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</si>
  <si>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</si>
  <si>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</si>
  <si>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</si>
  <si>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</si>
  <si>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</si>
  <si>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</si>
  <si>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</si>
  <si>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</si>
  <si>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</si>
  <si>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</si>
  <si>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</si>
  <si>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</si>
  <si>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</si>
  <si>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</si>
  <si>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</si>
  <si>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</si>
  <si>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</si>
  <si>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</si>
  <si>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</si>
  <si>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</si>
  <si>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</si>
  <si>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</si>
  <si>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</si>
  <si>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</si>
  <si>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</si>
  <si>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</si>
  <si>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</si>
  <si>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</si>
  <si>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</si>
  <si>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</si>
  <si>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</si>
  <si>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</si>
  <si>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</si>
  <si>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</si>
  <si>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</si>
  <si>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</si>
  <si>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</si>
  <si>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</si>
  <si>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</si>
  <si>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</si>
  <si>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</si>
  <si>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</si>
  <si>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</si>
  <si>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</si>
  <si>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</si>
  <si>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</si>
  <si>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</si>
  <si>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</si>
  <si>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</si>
  <si>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</si>
  <si>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</si>
  <si>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</si>
  <si>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</si>
  <si>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</si>
  <si>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</si>
  <si>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</si>
  <si>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</si>
  <si>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</si>
  <si>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</si>
  <si>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</si>
  <si>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</si>
  <si>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</si>
  <si>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</si>
  <si>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</si>
  <si>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</si>
  <si>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</si>
  <si>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</si>
  <si>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</si>
  <si>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</si>
  <si>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</si>
  <si>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</si>
  <si>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</si>
  <si>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</si>
  <si>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</si>
  <si>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</si>
  <si>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</si>
  <si>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</si>
  <si>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</si>
  <si>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</si>
  <si>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</si>
  <si>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</si>
  <si>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</si>
  <si>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</si>
  <si>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</si>
  <si>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</si>
  <si>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</si>
  <si>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</si>
  <si>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</si>
  <si>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</si>
  <si>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</si>
  <si>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</si>
  <si>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</si>
  <si>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</si>
  <si>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</si>
  <si>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</si>
  <si>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</si>
  <si>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</si>
  <si>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</si>
  <si>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</si>
  <si>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</si>
  <si>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</si>
  <si>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</si>
  <si>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</si>
  <si>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</si>
  <si>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</si>
  <si>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</si>
  <si>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</si>
  <si>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</si>
  <si>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</si>
  <si>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</si>
  <si>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</si>
  <si>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</si>
  <si>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</si>
  <si>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</si>
  <si>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</si>
  <si>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</si>
  <si>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</si>
  <si>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</si>
  <si>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</si>
  <si>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</si>
  <si>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</si>
  <si>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</si>
  <si>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</si>
  <si>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</si>
  <si>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</si>
  <si>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</si>
  <si>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</si>
  <si>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</si>
  <si>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</si>
  <si>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</si>
  <si>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</si>
  <si>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</si>
  <si>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</si>
  <si>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</si>
  <si>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</si>
  <si>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</si>
  <si>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</si>
  <si>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</si>
  <si>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</si>
  <si>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</si>
  <si>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</si>
  <si>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</si>
  <si>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</si>
  <si>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</si>
  <si>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</si>
  <si>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</si>
  <si>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</si>
  <si>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</si>
  <si>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</si>
  <si>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</si>
  <si>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</si>
  <si>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</si>
  <si>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</si>
  <si>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</si>
  <si>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</si>
  <si>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</si>
  <si>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</si>
  <si>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</si>
  <si>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</si>
  <si>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</si>
  <si>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</si>
  <si>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</si>
  <si>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</si>
  <si>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</si>
  <si>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</si>
  <si>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</si>
  <si>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</si>
  <si>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</si>
  <si>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</si>
  <si>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</si>
  <si>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</si>
  <si>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</si>
  <si>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</si>
  <si>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</si>
  <si>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</si>
  <si>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</si>
  <si>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</si>
  <si>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</si>
  <si>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</si>
  <si>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</si>
  <si>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</si>
  <si>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</si>
  <si>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</si>
  <si>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</si>
  <si>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</si>
  <si>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</si>
  <si>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</si>
  <si>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</si>
  <si>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</si>
  <si>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</si>
  <si>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</si>
  <si>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</si>
  <si>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</si>
  <si>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</si>
  <si>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</si>
  <si>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</si>
  <si>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</si>
  <si>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</si>
  <si>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</si>
  <si>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</si>
  <si>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</si>
  <si>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</si>
  <si>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</si>
  <si>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</si>
  <si>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</si>
  <si>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</si>
  <si>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</si>
  <si>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</si>
  <si>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</si>
  <si>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</si>
  <si>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</si>
  <si>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</si>
  <si>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</si>
  <si>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</si>
  <si>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</si>
  <si>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</si>
  <si>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</si>
  <si>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</si>
  <si>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</si>
  <si>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</si>
  <si>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</si>
  <si>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</si>
  <si>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</si>
  <si>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</si>
  <si>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</si>
  <si>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</si>
  <si>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</si>
  <si>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</si>
  <si>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</si>
  <si>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</si>
  <si>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</si>
  <si>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</si>
  <si>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</si>
  <si>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</si>
  <si>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</si>
  <si>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</si>
  <si>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</si>
  <si>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</si>
  <si>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</si>
  <si>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</si>
  <si>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</si>
  <si>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</si>
  <si>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</si>
  <si>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</si>
  <si>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</si>
  <si>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</si>
  <si>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</si>
  <si>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</si>
  <si>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</si>
  <si>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</si>
  <si>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</si>
  <si>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</si>
  <si>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</si>
  <si>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</si>
  <si>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</si>
  <si>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</si>
  <si>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</si>
  <si>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</si>
  <si>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</si>
  <si>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</si>
  <si>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</si>
  <si>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</si>
  <si>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</si>
  <si>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</si>
  <si>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</si>
  <si>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</si>
  <si>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</si>
  <si>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</si>
  <si>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</si>
  <si>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</si>
  <si>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</si>
  <si>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</si>
  <si>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</si>
  <si>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</si>
  <si>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</si>
  <si>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</si>
  <si>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</si>
  <si>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</si>
  <si>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</si>
  <si>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</si>
  <si>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</si>
  <si>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</si>
  <si>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</si>
  <si>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</si>
  <si>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</si>
  <si>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</si>
  <si>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</si>
  <si>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</si>
  <si>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</si>
  <si>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</si>
  <si>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</si>
  <si>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</si>
  <si>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</si>
  <si>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</si>
  <si>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</si>
  <si>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</si>
  <si>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</si>
  <si>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</si>
  <si>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</si>
  <si>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</si>
  <si>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</si>
  <si>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</si>
  <si>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</si>
  <si>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</si>
  <si>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</si>
  <si>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</si>
  <si>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</si>
  <si>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</si>
  <si>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</si>
  <si>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</si>
  <si>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</si>
  <si>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</si>
  <si>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</si>
  <si>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</si>
  <si>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</si>
  <si>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</si>
  <si>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</si>
  <si>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</si>
  <si>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</si>
  <si>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</si>
  <si>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</si>
  <si>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</si>
  <si>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</si>
  <si>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</si>
  <si>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</si>
  <si>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</si>
  <si>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</si>
  <si>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</si>
  <si>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</si>
  <si>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</si>
  <si>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</si>
  <si>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</si>
  <si>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</si>
  <si>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</si>
  <si>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</si>
  <si>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</si>
  <si>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</si>
  <si>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</si>
  <si>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</si>
  <si>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</si>
  <si>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</si>
  <si>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</si>
  <si>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</si>
  <si>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</si>
  <si>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</si>
  <si>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</si>
  <si>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</si>
  <si>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</si>
  <si>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</si>
  <si>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</si>
  <si>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</si>
  <si>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</si>
  <si>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</si>
  <si>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</si>
  <si>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</si>
  <si>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</si>
  <si>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</si>
  <si>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</si>
  <si>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</si>
  <si>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</si>
  <si>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</si>
  <si>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</si>
  <si>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</si>
  <si>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</si>
  <si>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</si>
  <si>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</si>
  <si>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</si>
  <si>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</si>
  <si>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</si>
  <si>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</si>
  <si>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</si>
  <si>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</si>
  <si>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</si>
  <si>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</si>
  <si>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</si>
  <si>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</si>
  <si>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</si>
  <si>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</si>
  <si>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</si>
  <si>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</si>
  <si>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</si>
  <si>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</si>
  <si>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</si>
  <si>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</si>
  <si>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</si>
  <si>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</si>
  <si>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</si>
  <si>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</si>
  <si>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</si>
  <si>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</si>
  <si>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</si>
  <si>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</si>
  <si>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</si>
  <si>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</si>
  <si>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</si>
  <si>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</si>
  <si>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</si>
  <si>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</si>
  <si>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</si>
  <si>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</si>
  <si>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</si>
  <si>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</si>
  <si>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</si>
  <si>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</si>
  <si>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</si>
  <si>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</si>
  <si>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</si>
  <si>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</si>
  <si>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</si>
  <si>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</si>
  <si>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</si>
  <si>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</si>
  <si>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</si>
  <si>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</si>
  <si>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docs/external/task-mapping.md; tests/external/fixtures/; evidence/tb059-task-mapping.json; evidence/tb059-scripted/; evidence/tb059-goose-live/; evidence/tb059-goose-live-retry/</t>
  </si>
  <si>
    <t xml:space="preserve">Done 2026-10-20. Every development fixture (25: the tuning groups in data/splits.json) runs end to end through goose with the unchanged evaluators: scripted dev suite (tests/external/fixtures/dev-suite.json, 26 cases, both arms) gives evaluator verdicts identical to the built-in agent in every case (evidence/tb059-scripted). Tasks reach goose through its native input (task prompt via -t, documents only as tool results through the MCP adapter); fixtures, initial state and evaluators unchanged. No holdout fixture is loaded: development runs materialize only development fixtures and the runner asserts it (sealed_fixtures_loaded 0 in every report; tested with a mixed suite and a positive control). Live pilot (nvidia gpt-oss-20b, free tier, 1 repetition): 17/25 valid, retry 6/8 valid, 24/25 fixtures with a valid live pair; TB-ATT-DOC-008 timed out at the provider twice (invalid, not counted; not a mapping limit). No task goose cannot express. Live numbers are pilot evidence, not an estimate. Fixed: a run cut off while the provider still owed an answer was counted as a valid agent timeout; it is now an invalid provider fault.
</t>
  </si>
  <si>
    <t>tests/external/authorization/; evidence/external-authorization-report.json; evidence/external-authorization-report-linux.json; src/external/sandbox.ts; docs/external/threat-model.md</t>
  </si>
  <si>
    <t xml:space="preserve">Done 2026-10-22 (owner decision: complete with the Linux Mode B limitation stated). goose and every process it starts run confined (src/external/sandbox.ts: sandbox-exec on macOS, Landlock on Linux): only the episode socket and the model proxy port reachable, writes only inside the episode folder; the capability (gateway session token) stays in the adapter. Bypass tests (tests/external/authorization/, project owner): direct calls, forged and replayed tokens, unlisted tools, argument smuggling and calls after cancellation, in both modes; each with a positive control and the audit check. macOS: 12/12 pass, every refusal audited (gateway or TB-004 deny decisions, including refused connections and calls after the episode ends), no tool effect without a gateway allow (evidence/external-authorization-report.json). LIMITATION: Linux container run (Landlock) 10/12 - Mode A 6/6, Mode B 2 open (direct_calls not refused; unlisted_tools positive control not detected) (evidence/external-authorization-report-linux.json); listed uncovered in docs/external/threat-model.md, no claim covers the native integration on Linux; the live service runs Mode A only. Next action for the limitation: fix and rerun the two Mode B checks in the container.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</si>
</sst>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59</v>
      </c>
      <c r="C5" s="6">
        <f>IF(A5=0,0,B5/A5)</f>
        <v>0.81944444444444442</v>
      </c>
      <c r="D5" s="5">
        <f>COUNTIFS($D$12:$D$83,"Blocked")</f>
        <v>0</v>
      </c>
      <c r="E5" s="5">
        <f>SUM($H$12:$H$83)</f>
        <v>357</v>
      </c>
      <c r="F5" s="5">
        <f>SUMIFS($H$12:$H$83,$D$12:$D$83,"&lt;&gt;Completed")</f>
        <v>93</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1</v>
      </c>
      <c r="E69" s="10" t="s">
        <v>525</v>
      </c>
      <c r="F69" s="10" t="s">
        <v>225</v>
      </c>
      <c r="G69" s="10" t="s">
        <v>921</v>
      </c>
      <c r="H69" s="18">
        <v>6</v>
      </c>
      <c r="I69" s="14"/>
      <c r="J69" s="16"/>
      <c r="K69" s="10" t="s">
        <v>846</v>
      </c>
      <c r="L69" s="10" t="s">
        <v>775</v>
      </c>
      <c r="M69" s="10" t="s">
        <v>776</v>
      </c>
      <c r="N69" s="10" t="s">
        <v>847</v>
      </c>
      <c r="O69" s="10" t="s">
        <v>777</v>
      </c>
      <c r="P69" s="10" t="s">
        <v>778</v>
      </c>
      <c r="Q69" s="10" t="s">
        <v>762</v>
      </c>
      <c r="R69" s="10" t="s">
        <v>223</v>
      </c>
      <c r="S69" s="14" t="s">
        <v>926</v>
      </c>
      <c r="T69" s="14" t="s">
        <v>927</v>
      </c>
      <c r="U69" s="10">
        <v>1</v>
      </c>
    </row>
    <row r="70" spans="1:21" ht="64" customHeight="1">
      <c r="A70" s="10" t="s">
        <v>541</v>
      </c>
      <c r="B70" s="10" t="s">
        <v>754</v>
      </c>
      <c r="C70" s="10" t="s">
        <v>780</v>
      </c>
      <c r="D70" s="14" t="s">
        <v>1</v>
      </c>
      <c r="E70" s="10" t="s">
        <v>525</v>
      </c>
      <c r="F70" s="10" t="s">
        <v>138</v>
      </c>
      <c r="G70" s="10" t="s">
        <v>921</v>
      </c>
      <c r="H70" s="18">
        <v>5</v>
      </c>
      <c r="I70" s="14"/>
      <c r="J70" s="16"/>
      <c r="K70" s="10" t="s">
        <v>781</v>
      </c>
      <c r="L70" s="10" t="s">
        <v>782</v>
      </c>
      <c r="M70" s="10" t="s">
        <v>783</v>
      </c>
      <c r="N70" s="10" t="s">
        <v>784</v>
      </c>
      <c r="O70" s="10" t="s">
        <v>785</v>
      </c>
      <c r="P70" s="10" t="s">
        <v>786</v>
      </c>
      <c r="Q70" s="10" t="s">
        <v>762</v>
      </c>
      <c r="R70" s="10" t="s">
        <v>100</v>
      </c>
      <c r="S70" s="14" t="s">
        <v>924</v>
      </c>
      <c r="T70" s="14" t="s">
        <v>925</v>
      </c>
      <c r="U70" s="10">
        <v>1</v>
      </c>
    </row>
    <row r="71" spans="1:21" ht="64" customHeight="1">
      <c r="A71" s="10" t="s">
        <v>549</v>
      </c>
      <c r="B71" s="10" t="s">
        <v>754</v>
      </c>
      <c r="C71" s="10" t="s">
        <v>788</v>
      </c>
      <c r="D71" s="14" t="s">
        <v>288</v>
      </c>
      <c r="E71" s="10" t="s">
        <v>533</v>
      </c>
      <c r="F71" s="10" t="s">
        <v>541</v>
      </c>
      <c r="G71" s="10" t="str">
        <f t="shared" si="4"/>
        <v>Ready</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5</v>
      </c>
      <c r="D100" s="11">
        <f t="shared" ref="D100" si="17">COUNTIFS($B$12:$B$83,A100,$D$12:$D$83,"Not Started")</f>
        <v>7</v>
      </c>
      <c r="E100" s="11">
        <f t="shared" ref="E100" si="18">COUNTIFS($B$12:$B$83,A100,$D$12:$D$83,"In Progress")</f>
        <v>0</v>
      </c>
      <c r="F100" s="11">
        <f t="shared" ref="F100" si="19">COUNTIFS($B$12:$B$83,A100,$D$12:$D$83,"Blocked")</f>
        <v>0</v>
      </c>
      <c r="G100" s="20">
        <f t="shared" ref="G100" si="20">IF(B100=0,0,C100/B100)</f>
        <v>0.41666666666666669</v>
      </c>
      <c r="H100" s="11">
        <f t="shared" ref="H100" si="21">SUMIFS($H$12:$H$83,$B$12:$B$83,A100)</f>
        <v>72</v>
      </c>
      <c r="I100" s="11">
        <f>SUMIFS($H$12:$H$83,$B$12:$B$83,A100,$D$12:$D$83,"&lt;&gt;Completed")</f>
        <v>41</v>
      </c>
      <c r="J100" s="11">
        <f>COUNTIFS($B$12:$B$83,A100,$G$12:$G$83,"Ready")</f>
        <v>1</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2026-10-22T05:35:42Z</dcterms:modified>
</cp:coreProperties>
</file>