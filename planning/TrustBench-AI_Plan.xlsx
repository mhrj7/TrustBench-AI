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4EDFC5FC-A4D7-4044-B255-2C6EE8BFDFB1}" xr6:coauthVersionLast="47" xr6:coauthVersionMax="47" xr10:uidLastSave="{00000000-0000-0000-0000-000000000000}"/>
  <bookViews>
    <workbookView minimized="1" xWindow="-21600" yWindow="-7640" windowWidth="21600" windowHeight="3780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<sst xmlns="http://schemas.openxmlformats.org/spreadsheetml/2006/main" count="1277" uniqueCount="930">
  <si>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</si>
  <si>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</si>
  <si>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</si>
  <si>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</si>
  <si>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</si>
  <si>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</si>
  <si>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</si>
  <si>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</si>
  <si>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</si>
  <si>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</si>
  <si>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</si>
  <si>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</si>
  <si>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</si>
  <si>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</si>
  <si>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</si>
  <si>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</si>
  <si>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</si>
  <si>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</si>
  <si>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</si>
  <si>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</si>
  <si>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</si>
  <si>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</si>
  <si>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</si>
  <si>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</si>
  <si>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</si>
  <si>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</si>
  <si>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</si>
  <si>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</si>
  <si>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</si>
  <si>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</si>
  <si>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</si>
  <si>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</si>
  <si>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</si>
  <si>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</si>
  <si>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</si>
  <si>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</si>
  <si>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</si>
  <si>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</si>
  <si>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</si>
  <si>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</si>
  <si>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</si>
  <si>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</si>
  <si>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</si>
  <si>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</si>
  <si>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</si>
  <si>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</si>
  <si>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</si>
  <si>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</si>
  <si>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</si>
  <si>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</si>
  <si>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</si>
  <si>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</si>
  <si>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</si>
  <si>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</si>
  <si>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</si>
  <si>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</si>
  <si>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</si>
  <si>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</si>
  <si>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</si>
  <si>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</si>
  <si>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</si>
  <si>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</si>
  <si>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</si>
  <si>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</si>
  <si>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</si>
  <si>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</si>
  <si>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</si>
  <si>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</si>
  <si>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</si>
  <si>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</si>
  <si>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</si>
  <si>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</si>
  <si>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</si>
  <si>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</si>
  <si>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</si>
  <si>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</si>
  <si>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</si>
  <si>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</si>
  <si>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</si>
  <si>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</si>
  <si>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</si>
  <si>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</si>
  <si>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</si>
  <si>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</si>
  <si>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</si>
  <si>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</si>
  <si>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</si>
  <si>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</si>
  <si>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</si>
  <si>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</si>
  <si>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</si>
  <si>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</si>
  <si>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</si>
  <si>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</si>
  <si>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</si>
  <si>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</si>
  <si>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</si>
  <si>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</si>
  <si>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</si>
  <si>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</si>
  <si>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</si>
  <si>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</si>
  <si>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</si>
  <si>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</si>
  <si>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</si>
  <si>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</si>
  <si>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</si>
  <si>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</si>
  <si>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</si>
  <si>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</si>
  <si>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</si>
  <si>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</si>
  <si>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</si>
  <si>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</si>
  <si>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</si>
  <si>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</si>
  <si>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</si>
  <si>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</si>
  <si>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</si>
  <si>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</si>
  <si>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</si>
  <si>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</si>
  <si>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</si>
  <si>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</si>
  <si>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</si>
  <si>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</si>
  <si>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</si>
  <si>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</si>
  <si>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</si>
  <si>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</si>
  <si>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</si>
  <si>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</si>
  <si>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</si>
  <si>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</si>
  <si>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</si>
  <si>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</si>
  <si>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</si>
  <si>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</si>
  <si>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</si>
  <si>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</si>
  <si>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</si>
  <si>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</si>
  <si>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</si>
  <si>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</si>
  <si>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</si>
  <si>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</si>
  <si>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</si>
  <si>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</si>
  <si>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</si>
  <si>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</si>
  <si>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</si>
  <si>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</si>
  <si>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</si>
  <si>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</si>
  <si>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</si>
  <si>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</si>
  <si>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</si>
  <si>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</si>
  <si>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</si>
  <si>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</si>
  <si>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</si>
  <si>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</si>
  <si>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</si>
  <si>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</si>
  <si>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</si>
  <si>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</si>
  <si>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</si>
  <si>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</si>
  <si>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</si>
  <si>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</si>
  <si>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</si>
  <si>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</si>
  <si>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</si>
  <si>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</si>
  <si>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</si>
  <si>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</si>
  <si>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</si>
  <si>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</si>
  <si>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</si>
  <si>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</si>
  <si>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</si>
  <si>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</si>
  <si>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</si>
  <si>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</si>
  <si>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</si>
  <si>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</si>
  <si>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</si>
  <si>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</si>
  <si>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</si>
  <si>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</si>
  <si>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</si>
  <si>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</si>
  <si>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</si>
  <si>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</si>
  <si>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</si>
  <si>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</si>
  <si>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</si>
  <si>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</si>
  <si>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</si>
  <si>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</si>
  <si>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</si>
  <si>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</si>
  <si>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</si>
  <si>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</si>
  <si>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</si>
  <si>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</si>
  <si>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</si>
  <si>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</si>
  <si>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</si>
  <si>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</si>
  <si>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</si>
  <si>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</si>
  <si>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</si>
  <si>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</si>
  <si>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</si>
  <si>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</si>
  <si>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</si>
  <si>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</si>
  <si>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</si>
  <si>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</si>
  <si>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</si>
  <si>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</si>
  <si>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</si>
  <si>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</si>
  <si>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</si>
  <si>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</si>
  <si>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</si>
  <si>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</si>
  <si>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</si>
  <si>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</si>
  <si>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</si>
  <si>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</si>
  <si>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</si>
  <si>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</si>
  <si>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</si>
  <si>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</si>
  <si>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</si>
  <si>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</si>
  <si>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</si>
  <si>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</si>
  <si>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</si>
  <si>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</si>
  <si>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</si>
  <si>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</si>
  <si>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</si>
  <si>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</si>
  <si>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</si>
  <si>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</si>
  <si>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</si>
  <si>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</si>
  <si>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</si>
  <si>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</si>
  <si>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</si>
  <si>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</si>
  <si>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</si>
  <si>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</si>
  <si>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</si>
  <si>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</si>
  <si>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</si>
  <si>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</si>
  <si>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</si>
  <si>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</si>
  <si>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</si>
  <si>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</si>
  <si>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</si>
  <si>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</si>
  <si>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</si>
  <si>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</si>
  <si>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</si>
  <si>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</si>
  <si>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</si>
  <si>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</si>
  <si>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</si>
  <si>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</si>
  <si>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</si>
  <si>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</si>
  <si>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</si>
  <si>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</si>
  <si>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</si>
  <si>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</si>
  <si>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</si>
  <si>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</si>
  <si>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</si>
  <si>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</si>
  <si>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</si>
  <si>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</si>
  <si>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</si>
  <si>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</si>
  <si>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</si>
  <si>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</si>
  <si>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</si>
  <si>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</si>
  <si>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</si>
  <si>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</si>
  <si>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</si>
  <si>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</si>
  <si>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</si>
  <si>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</si>
  <si>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</si>
  <si>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</si>
  <si>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</si>
  <si>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</si>
  <si>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</si>
  <si>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</si>
  <si>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</si>
  <si>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</si>
  <si>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</si>
  <si>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</si>
  <si>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</si>
  <si>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</si>
  <si>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</si>
  <si>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</si>
  <si>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</si>
  <si>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</si>
  <si>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</si>
  <si>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</si>
  <si>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</si>
  <si>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</si>
  <si>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</si>
  <si>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</si>
  <si>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</si>
  <si>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</si>
  <si>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</si>
  <si>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</si>
  <si>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</si>
  <si>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</si>
  <si>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</si>
  <si>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</si>
  <si>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</si>
  <si>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</si>
  <si>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</si>
  <si>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</si>
  <si>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</si>
  <si>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</si>
  <si>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</si>
  <si>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</si>
  <si>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</si>
  <si>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</si>
  <si>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</si>
  <si>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</si>
  <si>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</si>
  <si>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</si>
  <si>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</si>
  <si>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</si>
  <si>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</si>
  <si>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</si>
  <si>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</si>
  <si>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</si>
  <si>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</si>
  <si>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</si>
  <si>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</si>
  <si>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</si>
  <si>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</si>
  <si>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</si>
  <si>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</si>
  <si>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</si>
  <si>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</si>
  <si>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</si>
  <si>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</si>
  <si>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</si>
  <si>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</si>
  <si>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</si>
  <si>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</si>
  <si>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</si>
  <si>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</si>
  <si>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</si>
  <si>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</si>
  <si>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</si>
  <si>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</si>
  <si>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</si>
  <si>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</si>
  <si>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</si>
  <si>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</si>
  <si>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</si>
  <si>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</si>
  <si>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</si>
  <si>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</si>
  <si>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</si>
  <si>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</si>
  <si>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</si>
  <si>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</si>
  <si>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</si>
  <si>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</si>
  <si>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</si>
  <si>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</si>
  <si>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</si>
  <si>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</si>
  <si>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</si>
  <si>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</si>
  <si>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</si>
  <si>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</si>
  <si>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</si>
  <si>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</si>
  <si>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</si>
  <si>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</si>
  <si>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</si>
  <si>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</si>
  <si>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</si>
  <si>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</si>
  <si>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</si>
  <si>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</si>
  <si>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</si>
  <si>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</si>
  <si>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</si>
  <si>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</si>
  <si>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</si>
  <si>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</si>
  <si>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</si>
  <si>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</si>
  <si>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</si>
  <si>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</si>
  <si>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</si>
  <si>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</si>
  <si>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</si>
  <si>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</si>
  <si>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</si>
  <si>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</si>
  <si>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</si>
  <si>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</si>
  <si>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</si>
  <si>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</si>
  <si>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</si>
  <si>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</si>
  <si>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</si>
  <si>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</si>
  <si>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</si>
  <si>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</si>
  <si>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</si>
  <si>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</si>
  <si>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</si>
  <si>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</si>
  <si>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</si>
  <si>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</si>
  <si>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</si>
  <si>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</si>
  <si>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</si>
  <si>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</si>
  <si>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</si>
  <si>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</si>
  <si>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</si>
  <si>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</si>
  <si>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</si>
  <si>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</si>
  <si>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</si>
  <si>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</si>
  <si>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</si>
  <si>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</si>
  <si>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</si>
  <si>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</si>
  <si>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</si>
  <si>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</si>
  <si>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</si>
  <si>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</si>
  <si>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</si>
  <si>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</si>
  <si>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</si>
  <si>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</si>
  <si>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</si>
  <si>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</si>
  <si>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</si>
  <si>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</si>
  <si>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</si>
  <si>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</si>
  <si>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</si>
  <si>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</si>
  <si>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</si>
  <si>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</si>
  <si>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</si>
  <si>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</si>
  <si>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</si>
  <si>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</si>
  <si>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</si>
  <si>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</si>
  <si>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</si>
  <si>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</si>
  <si>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</si>
  <si>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</si>
  <si>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</si>
  <si>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</si>
  <si>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</si>
  <si>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</si>
  <si>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</si>
  <si>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</si>
  <si>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</si>
  <si>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</si>
  <si>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</si>
  <si>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</si>
  <si>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</si>
  <si>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</si>
  <si>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</si>
  <si>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</si>
  <si>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</si>
  <si>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</si>
  <si>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</si>
  <si>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</si>
  <si>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</si>
  <si>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</si>
  <si>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</si>
  <si>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</si>
  <si>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</si>
  <si>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</si>
  <si>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</si>
  <si>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</si>
  <si>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</si>
  <si>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</si>
  <si>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</si>
  <si>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</si>
  <si>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</si>
  <si>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</si>
  <si>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</si>
  <si>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</si>
  <si>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</si>
  <si>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</si>
  <si>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</si>
  <si>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</si>
  <si>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</si>
  <si>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</si>
  <si>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</si>
  <si>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</si>
  <si>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</si>
  <si>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</si>
  <si>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</si>
  <si>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</si>
  <si>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</si>
  <si>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</si>
  <si>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</si>
  <si>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</si>
  <si>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</si>
  <si>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</si>
  <si>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</si>
  <si>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</si>
  <si>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</si>
  <si>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</si>
  <si>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</si>
  <si>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</si>
  <si>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</si>
  <si>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</si>
  <si>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</si>
  <si>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</si>
  <si>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</si>
  <si>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</si>
  <si>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</si>
  <si>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</si>
  <si>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</si>
  <si>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</si>
  <si>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</si>
  <si>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</si>
  <si>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</si>
  <si>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</si>
  <si>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</si>
  <si>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</si>
  <si>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</si>
  <si>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</si>
  <si>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</si>
  <si>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</si>
  <si>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</si>
  <si>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</si>
  <si>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</si>
  <si>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</si>
  <si>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</si>
  <si>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</si>
  <si>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</si>
  <si>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</si>
  <si>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</si>
  <si>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</si>
  <si>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</si>
  <si>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</si>
  <si>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</si>
  <si>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</si>
  <si>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</si>
  <si>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</si>
  <si>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</si>
  <si>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</si>
  <si>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</si>
  <si>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</si>
  <si>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</si>
  <si>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</si>
  <si>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</si>
  <si>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</si>
  <si>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</si>
  <si>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</si>
  <si>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</si>
  <si>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</si>
  <si>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</si>
  <si>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</si>
  <si>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</si>
  <si>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</si>
  <si>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</si>
  <si>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</si>
  <si>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</si>
  <si>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</si>
  <si>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</si>
  <si>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</si>
  <si>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</si>
  <si>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</si>
  <si>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</si>
  <si>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</si>
  <si>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</si>
  <si>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</si>
  <si>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</si>
  <si>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</si>
  <si>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</si>
  <si>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</si>
  <si>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</si>
  <si>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</si>
  <si>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</si>
  <si>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</si>
  <si>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</si>
  <si>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</si>
  <si>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</si>
  <si>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</si>
  <si>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</si>
  <si>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</si>
  <si>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</si>
  <si>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</si>
  <si>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</si>
  <si>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</si>
  <si>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</si>
  <si>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</si>
  <si>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</si>
  <si>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</si>
  <si>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</si>
  <si>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</si>
  <si>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</si>
  <si>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</si>
  <si>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</si>
  <si>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</si>
  <si>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</si>
  <si>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</si>
  <si>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</si>
  <si>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</si>
  <si>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</si>
  <si>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</si>
  <si>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</si>
  <si>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</si>
  <si>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</si>
  <si>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</si>
  <si>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</si>
  <si>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</si>
  <si>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</si>
  <si>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</si>
  <si>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</si>
  <si>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</si>
  <si>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</si>
  <si>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</si>
  <si>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</si>
  <si>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</si>
  <si>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</si>
  <si>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</si>
  <si>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</si>
  <si>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</si>
  <si>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</si>
  <si>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</si>
  <si>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</si>
  <si>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</si>
  <si>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</si>
  <si>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</si>
  <si>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</si>
  <si>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</si>
  <si>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</si>
  <si>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</si>
  <si>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</si>
  <si>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</si>
  <si>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</si>
  <si>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</si>
  <si>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</si>
  <si>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</si>
  <si>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</si>
  <si>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</si>
  <si>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</si>
  <si>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</si>
  <si>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</si>
  <si>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</si>
  <si>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</si>
  <si>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</si>
  <si>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</si>
  <si>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</si>
  <si>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</si>
  <si>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</si>
  <si>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</si>
  <si>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</si>
  <si>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</si>
  <si>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</si>
  <si>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</si>
  <si>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</si>
  <si>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</si>
  <si>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</si>
  <si>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</si>
  <si>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</si>
  <si>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</si>
  <si>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</si>
  <si>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</si>
  <si>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</si>
  <si>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</si>
  <si>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</si>
  <si>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</si>
  <si>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</si>
  <si>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</si>
  <si>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</si>
  <si>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</si>
  <si>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</si>
  <si>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</si>
  <si>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</si>
  <si>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</si>
  <si>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</si>
  <si>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</si>
  <si>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</si>
  <si>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</si>
  <si>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</si>
  <si>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</si>
  <si>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</si>
  <si>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</si>
  <si>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</si>
  <si>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</si>
  <si>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</si>
  <si>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</si>
  <si>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</si>
  <si>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</si>
  <si>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</si>
  <si>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</si>
  <si>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</si>
  <si>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</si>
  <si>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</si>
  <si>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</si>
  <si>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</si>
  <si>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</si>
  <si>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</si>
  <si>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</si>
  <si>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</si>
  <si>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</si>
  <si>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</si>
  <si>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</si>
  <si>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</si>
  <si>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</si>
  <si>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</si>
  <si>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</si>
  <si>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</si>
  <si>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</si>
  <si>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</si>
  <si>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</si>
  <si>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</si>
  <si>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</si>
  <si>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</si>
  <si>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</si>
  <si>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</si>
  <si>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</si>
  <si>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</si>
  <si>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</si>
  <si>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</si>
  <si>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</si>
  <si>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</si>
  <si>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</si>
  <si>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</si>
  <si>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</si>
  <si>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</si>
  <si>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</si>
  <si>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</si>
  <si>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</si>
  <si>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</si>
  <si>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</si>
  <si>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</si>
  <si>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</si>
  <si>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</si>
  <si>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</si>
  <si>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</si>
  <si>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</si>
  <si>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</si>
  <si>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</si>
  <si>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</si>
  <si>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</si>
  <si>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</si>
  <si>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</si>
  <si>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</si>
  <si>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</si>
  <si>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</si>
  <si>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</si>
  <si>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</si>
  <si>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</si>
  <si>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</si>
  <si>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</si>
  <si>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</si>
  <si>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</si>
  <si>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</si>
  <si>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</si>
  <si>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</si>
  <si>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</si>
  <si>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</si>
  <si>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</si>
  <si>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</si>
  <si>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</si>
  <si>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</si>
  <si>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</si>
  <si>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</si>
  <si>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</si>
  <si>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</si>
  <si>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</si>
  <si>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</si>
  <si>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</si>
  <si>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</si>
  <si>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</si>
  <si>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</si>
  <si>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</si>
  <si>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</si>
  <si>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</si>
  <si>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</si>
  <si>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</si>
  <si>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</si>
  <si>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</si>
  <si>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</si>
  <si>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</si>
  <si>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</si>
  <si>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</si>
  <si>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</si>
  <si>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</si>
  <si>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</si>
  <si>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</si>
  <si>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</si>
  <si>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</si>
  <si>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</si>
  <si>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</si>
  <si>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</si>
  <si>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</si>
  <si>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</si>
  <si>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</si>
  <si>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</si>
  <si>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</si>
  <si>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</si>
  <si>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</si>
  <si>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</si>
  <si>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</si>
  <si>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</si>
  <si>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</si>
  <si>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</si>
  <si>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</si>
  <si>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</si>
  <si>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</si>
  <si>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</si>
  <si>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</si>
  <si>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</si>
  <si>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</si>
  <si>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</si>
  <si>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</si>
  <si>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</si>
  <si>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</si>
  <si>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</si>
  <si>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</si>
  <si>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</si>
  <si>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</si>
  <si>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</si>
  <si>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</si>
  <si>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</si>
  <si>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</si>
  <si>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</si>
  <si>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</si>
  <si>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</si>
  <si>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</si>
  <si>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</si>
  <si>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</si>
  <si>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</si>
  <si>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</si>
  <si>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</si>
  <si>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</si>
  <si>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</si>
  <si>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</si>
  <si>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</si>
  <si>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</si>
  <si>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</si>
  <si>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</si>
  <si>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</si>
  <si>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</si>
  <si>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</si>
  <si>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</si>
  <si>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</si>
  <si>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</si>
  <si>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</si>
  <si>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</si>
  <si>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</si>
  <si>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</si>
  <si>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</si>
  <si>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</si>
  <si>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</si>
  <si>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</si>
  <si>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</si>
  <si>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</si>
  <si>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</si>
  <si>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</si>
  <si>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</si>
  <si>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</si>
  <si>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</si>
  <si>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</si>
  <si>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</si>
  <si>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</si>
  <si>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</si>
  <si>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</si>
  <si>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</si>
  <si>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</si>
  <si>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</si>
  <si>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</si>
  <si>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</si>
  <si>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</si>
  <si>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</si>
  <si>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</si>
  <si>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</si>
  <si>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</si>
  <si>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</si>
  <si>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</si>
  <si>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</si>
  <si>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</si>
  <si>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</si>
  <si>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</si>
  <si>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</si>
  <si>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</si>
  <si>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</si>
  <si>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</si>
  <si>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</si>
  <si>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</si>
  <si>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</si>
  <si>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</si>
  <si>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</si>
  <si>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</si>
  <si>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</si>
  <si>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</si>
  <si>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</si>
  <si>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</si>
  <si>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</si>
  <si>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</si>
  <si>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</si>
  <si>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</si>
  <si>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</si>
  <si>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Live smoke, development split, both arms, all checks pass (evidence/external-smoke-report.json): local runner qwen3.5:9b 6/6; live-service API on a local instance: scripted 6/6, Gemini 2/2; deployed public demo: scripted 6/6 and live Gemini (own key) 2/2. Fixed on the way: (1) goose runs exported no model spans; (2) a provider fault goose retried past invalidated the run, stricter than the built-in agents; now counted as a retry (provider_retries), only faults the run ends on make it invalid (tested with a fake provider and a control). Provider faults recorded invalid, never counted: NVIDIA gpt-oss-20b timed out in every attempt (free tier congested), two early Gemini demo attempts under the old rule.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</si>
</sst>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60</v>
      </c>
      <c r="C5" s="6">
        <f>IF(A5=0,0,B5/A5)</f>
        <v>0.83333333333333337</v>
      </c>
      <c r="D5" s="5">
        <f>COUNTIFS($D$12:$D$83,"Blocked")</f>
        <v>0</v>
      </c>
      <c r="E5" s="5">
        <f>SUM($H$12:$H$83)</f>
        <v>357</v>
      </c>
      <c r="F5" s="5">
        <f>SUMIFS($H$12:$H$83,$D$12:$D$83,"&lt;&gt;Completed")</f>
        <v>89</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288</v>
      </c>
      <c r="E72" s="10" t="s">
        <v>549</v>
      </c>
      <c r="F72" s="10" t="s">
        <v>82</v>
      </c>
      <c r="G72" s="10" t="str">
        <f t="shared" si="4"/>
        <v>Ready</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Ready</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6</v>
      </c>
      <c r="D100" s="11">
        <f t="shared" ref="D100" si="17">COUNTIFS($B$12:$B$83,A100,$D$12:$D$83,"Not Started")</f>
        <v>6</v>
      </c>
      <c r="E100" s="11">
        <f t="shared" ref="E100" si="18">COUNTIFS($B$12:$B$83,A100,$D$12:$D$83,"In Progress")</f>
        <v>0</v>
      </c>
      <c r="F100" s="11">
        <f t="shared" ref="F100" si="19">COUNTIFS($B$12:$B$83,A100,$D$12:$D$83,"Blocked")</f>
        <v>0</v>
      </c>
      <c r="G100" s="20">
        <f t="shared" ref="G100" si="20">IF(B100=0,0,C100/B100)</f>
        <v>0.5</v>
      </c>
      <c r="H100" s="11">
        <f t="shared" ref="H100" si="21">SUMIFS($H$12:$H$83,$B$12:$B$83,A100)</f>
        <v>72</v>
      </c>
      <c r="I100" s="11">
        <f>SUMIFS($H$12:$H$83,$B$12:$B$83,A100,$D$12:$D$83,"&lt;&gt;Completed")</f>
        <v>37</v>
      </c>
      <c r="J100" s="11">
        <f>COUNTIFS($B$12:$B$83,A100,$G$12:$G$83,"Ready")</f>
        <v>2</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2026-10-22T09:40:18Z</dcterms:modified>
</cp:coreProperties>
</file>