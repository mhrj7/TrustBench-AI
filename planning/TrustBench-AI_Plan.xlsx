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E0F0255E-19B6-4343-ADBC-0409866BD713}"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<sst xmlns="http://schemas.openxmlformats.org/spreadsheetml/2006/main" count="1255" uniqueCount="911">
  <si>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</si>
  <si>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</si>
  <si>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</si>
  <si>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</si>
  <si>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</si>
  <si>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</si>
  <si>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</si>
  <si>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</si>
  <si>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</si>
  <si>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</si>
  <si>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</si>
  <si>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</si>
  <si>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</si>
  <si>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</si>
  <si>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</si>
  <si>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</si>
  <si>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</si>
  <si>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</si>
  <si>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</si>
  <si>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</si>
  <si>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</si>
  <si>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</si>
  <si>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</si>
  <si>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</si>
  <si>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</si>
  <si>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</si>
  <si>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</si>
  <si>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</si>
  <si>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</si>
  <si>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</si>
  <si>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</si>
  <si>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</si>
  <si>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</si>
  <si>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</si>
  <si>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</si>
  <si>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</si>
  <si>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</si>
  <si>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</si>
  <si>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</si>
  <si>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</si>
  <si>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</si>
  <si>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</si>
  <si>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</si>
  <si>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</si>
  <si>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</si>
  <si>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</si>
  <si>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</si>
  <si>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</si>
  <si>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</si>
  <si>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</si>
  <si>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</si>
  <si>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</si>
  <si>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</si>
  <si>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</si>
  <si>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</si>
  <si>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</si>
  <si>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</si>
  <si>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</si>
  <si>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</si>
  <si>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</si>
  <si>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</si>
  <si>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</si>
  <si>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</si>
  <si>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</si>
  <si>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</si>
  <si>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</si>
  <si>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</si>
  <si>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</si>
  <si>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</si>
  <si>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</si>
  <si>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</si>
  <si>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</si>
  <si>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</si>
  <si>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</si>
  <si>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</si>
  <si>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</si>
  <si>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</si>
  <si>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</si>
  <si>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</si>
  <si>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</si>
  <si>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</si>
  <si>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</si>
  <si>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</si>
  <si>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</si>
  <si>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</si>
  <si>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</si>
  <si>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</si>
  <si>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</si>
  <si>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</si>
  <si>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</si>
  <si>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</si>
  <si>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</si>
  <si>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</si>
  <si>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</si>
  <si>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</si>
  <si>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</si>
  <si>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</si>
  <si>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</si>
  <si>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</si>
  <si>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</si>
  <si>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</si>
  <si>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</si>
  <si>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</si>
  <si>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</si>
  <si>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</si>
  <si>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</si>
  <si>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</si>
  <si>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</si>
  <si>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</si>
  <si>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</si>
  <si>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</si>
  <si>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</si>
  <si>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</si>
  <si>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</si>
  <si>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</si>
  <si>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</si>
  <si>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</si>
  <si>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</si>
  <si>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</si>
  <si>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</si>
  <si>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</si>
  <si>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</si>
  <si>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</si>
  <si>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</si>
  <si>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</si>
  <si>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</si>
  <si>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</si>
  <si>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</si>
  <si>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</si>
  <si>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</si>
  <si>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</si>
  <si>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</si>
  <si>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</si>
  <si>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</si>
  <si>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</si>
  <si>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</si>
  <si>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</si>
  <si>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</si>
  <si>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</si>
  <si>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</si>
  <si>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</si>
  <si>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</si>
  <si>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</si>
  <si>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</si>
  <si>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</si>
  <si>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</si>
  <si>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</si>
  <si>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</si>
  <si>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</si>
  <si>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</si>
  <si>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</si>
  <si>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</si>
  <si>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</si>
  <si>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</si>
  <si>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</si>
  <si>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</si>
  <si>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</si>
  <si>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</si>
  <si>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</si>
  <si>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</si>
  <si>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</si>
  <si>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</si>
  <si>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</si>
  <si>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</si>
  <si>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</si>
  <si>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</si>
  <si>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</si>
  <si>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</si>
  <si>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</si>
  <si>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</si>
  <si>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</si>
  <si>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</si>
  <si>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</si>
  <si>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</si>
  <si>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</si>
  <si>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</si>
  <si>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</si>
  <si>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</si>
  <si>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</si>
  <si>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</si>
  <si>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</si>
  <si>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</si>
  <si>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</si>
  <si>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</si>
  <si>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</si>
  <si>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</si>
  <si>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</si>
  <si>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</si>
  <si>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</si>
  <si>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</si>
  <si>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</si>
  <si>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</si>
  <si>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</si>
  <si>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</si>
  <si>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</si>
  <si>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</si>
  <si>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</si>
  <si>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</si>
  <si>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</si>
  <si>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</si>
  <si>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</si>
  <si>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</si>
  <si>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</si>
  <si>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</si>
  <si>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</si>
  <si>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</si>
  <si>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</si>
  <si>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</si>
  <si>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</si>
  <si>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</si>
  <si>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</si>
  <si>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</si>
  <si>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</si>
  <si>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</si>
  <si>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</si>
  <si>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</si>
  <si>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</si>
  <si>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</si>
  <si>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</si>
  <si>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</si>
  <si>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</si>
  <si>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</si>
  <si>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</si>
  <si>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</si>
  <si>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</si>
  <si>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</si>
  <si>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</si>
  <si>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</si>
  <si>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</si>
  <si>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</si>
  <si>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</si>
  <si>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</si>
  <si>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</si>
  <si>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</si>
  <si>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</si>
  <si>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</si>
  <si>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</si>
  <si>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</si>
  <si>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</si>
  <si>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</si>
  <si>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</si>
  <si>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</si>
  <si>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</si>
  <si>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</si>
  <si>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</si>
  <si>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</si>
  <si>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</si>
  <si>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</si>
  <si>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</si>
  <si>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</si>
  <si>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</si>
  <si>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</si>
  <si>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</si>
  <si>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</si>
  <si>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</si>
  <si>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</si>
  <si>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</si>
  <si>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</si>
  <si>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</si>
  <si>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</si>
  <si>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</si>
  <si>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</si>
  <si>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</si>
  <si>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</si>
  <si>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</si>
  <si>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</si>
  <si>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</si>
  <si>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</si>
  <si>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</si>
  <si>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</si>
  <si>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</si>
  <si>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</si>
  <si>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</si>
  <si>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</si>
  <si>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</si>
  <si>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</si>
  <si>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</si>
  <si>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</si>
  <si>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</si>
  <si>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</si>
  <si>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</si>
  <si>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</si>
  <si>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</si>
  <si>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</si>
  <si>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</si>
  <si>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</si>
  <si>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</si>
  <si>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</si>
  <si>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</si>
  <si>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</si>
  <si>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</si>
  <si>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</si>
  <si>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</si>
  <si>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</si>
  <si>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</si>
  <si>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</si>
  <si>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</si>
  <si>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</si>
  <si>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</si>
  <si>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</si>
  <si>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</si>
  <si>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</si>
  <si>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</si>
  <si>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</si>
  <si>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</si>
  <si>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</si>
  <si>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</si>
  <si>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</si>
  <si>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</si>
  <si>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</si>
  <si>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</si>
  <si>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</si>
  <si>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</si>
  <si>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</si>
  <si>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</si>
  <si>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</si>
  <si>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</si>
  <si>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</si>
  <si>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</si>
  <si>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</si>
  <si>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</si>
  <si>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</si>
  <si>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</si>
  <si>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</si>
  <si>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</si>
  <si>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</si>
  <si>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</si>
  <si>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</si>
  <si>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</si>
  <si>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</si>
  <si>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</si>
  <si>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</si>
  <si>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</si>
  <si>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</si>
  <si>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</si>
  <si>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</si>
  <si>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</si>
  <si>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</si>
  <si>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</si>
  <si>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</si>
  <si>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</si>
  <si>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</si>
  <si>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</si>
  <si>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</si>
  <si>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</si>
  <si>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</si>
  <si>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</si>
  <si>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</si>
  <si>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</si>
  <si>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</si>
  <si>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</si>
  <si>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</si>
  <si>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</si>
  <si>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</si>
  <si>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</si>
  <si>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</si>
  <si>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</si>
  <si>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</si>
  <si>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</si>
  <si>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</si>
  <si>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</si>
  <si>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</si>
  <si>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</si>
  <si>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</si>
  <si>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</si>
  <si>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</si>
  <si>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</si>
  <si>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</si>
  <si>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</si>
  <si>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</si>
  <si>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</si>
  <si>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</si>
  <si>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</si>
  <si>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</si>
  <si>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</si>
  <si>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</si>
  <si>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</si>
  <si>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</si>
  <si>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</si>
  <si>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</si>
  <si>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</si>
  <si>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</si>
  <si>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</si>
  <si>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</si>
  <si>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</si>
  <si>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</si>
  <si>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</si>
  <si>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</si>
  <si>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</si>
  <si>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</si>
  <si>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</si>
  <si>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</si>
  <si>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</si>
  <si>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</si>
  <si>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</si>
  <si>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</si>
  <si>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</si>
  <si>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</si>
  <si>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</si>
  <si>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</si>
  <si>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</si>
  <si>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</si>
  <si>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</si>
  <si>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</si>
  <si>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</si>
  <si>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</si>
  <si>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</si>
  <si>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</si>
  <si>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</si>
  <si>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</si>
  <si>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</si>
  <si>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</si>
  <si>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</si>
  <si>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</si>
  <si>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</si>
  <si>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</si>
  <si>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</si>
  <si>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</si>
  <si>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</si>
  <si>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</si>
  <si>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</si>
  <si>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</si>
  <si>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</si>
  <si>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</si>
  <si>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</si>
  <si>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</si>
  <si>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</si>
  <si>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</si>
  <si>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</si>
  <si>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</si>
  <si>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</si>
  <si>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</si>
  <si>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</si>
  <si>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</si>
  <si>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</si>
  <si>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</si>
  <si>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</si>
  <si>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</si>
  <si>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</si>
  <si>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</si>
  <si>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</si>
  <si>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</si>
  <si>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</si>
  <si>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</si>
  <si>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</si>
  <si>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</si>
  <si>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</si>
  <si>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</si>
  <si>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</si>
  <si>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</si>
  <si>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</si>
  <si>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</si>
  <si>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</si>
  <si>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</si>
  <si>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</si>
  <si>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</si>
  <si>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</si>
  <si>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</si>
  <si>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</si>
  <si>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</si>
  <si>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</si>
  <si>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</si>
  <si>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</si>
  <si>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</si>
  <si>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</si>
  <si>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</si>
  <si>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</si>
  <si>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</si>
  <si>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</si>
  <si>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</si>
  <si>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</si>
  <si>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</si>
  <si>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</si>
  <si>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</si>
  <si>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</si>
  <si>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</si>
  <si>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</si>
  <si>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</si>
  <si>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</si>
  <si>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</si>
  <si>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</si>
  <si>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</si>
  <si>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</si>
  <si>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</si>
  <si>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</si>
  <si>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</si>
  <si>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</si>
  <si>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</si>
  <si>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</si>
  <si>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</si>
  <si>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</si>
  <si>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</si>
  <si>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</si>
  <si>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</si>
  <si>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</si>
  <si>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</si>
  <si>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</si>
  <si>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</si>
  <si>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</si>
  <si>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</si>
  <si>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</si>
  <si>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</si>
  <si>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</si>
  <si>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</si>
  <si>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</si>
  <si>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</si>
  <si>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</si>
  <si>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</si>
  <si>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</si>
  <si>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</si>
  <si>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</si>
  <si>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</si>
  <si>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</si>
  <si>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</si>
  <si>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</si>
  <si>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</si>
  <si>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</si>
  <si>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</si>
  <si>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</si>
  <si>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</si>
  <si>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</si>
  <si>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</si>
  <si>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</si>
  <si>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</si>
  <si>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</si>
  <si>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</si>
  <si>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</si>
  <si>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</si>
  <si>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</si>
  <si>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</si>
  <si>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</si>
  <si>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</si>
  <si>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</si>
  <si>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</si>
  <si>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</si>
  <si>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</si>
  <si>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</si>
  <si>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</si>
  <si>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</si>
  <si>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</si>
  <si>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</si>
  <si>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</si>
  <si>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</si>
  <si>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</si>
  <si>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</si>
  <si>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</si>
  <si>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</si>
  <si>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</si>
  <si>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</si>
  <si>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</si>
  <si>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</si>
  <si>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</si>
  <si>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</si>
  <si>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</si>
  <si>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</si>
  <si>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</si>
  <si>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</si>
  <si>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</si>
  <si>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</si>
  <si>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</si>
  <si>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</si>
  <si>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</si>
  <si>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</si>
  <si>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</si>
  <si>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</si>
  <si>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</si>
  <si>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</si>
  <si>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</si>
  <si>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</si>
  <si>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</si>
  <si>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</si>
  <si>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</si>
  <si>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</si>
  <si>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</si>
  <si>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</si>
  <si>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</si>
  <si>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</si>
  <si>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</si>
  <si>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</si>
  <si>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</si>
  <si>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</si>
  <si>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</si>
  <si>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</si>
  <si>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</si>
  <si>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</si>
  <si>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</si>
  <si>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</si>
  <si>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</si>
  <si>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</si>
  <si>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</si>
  <si>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</si>
  <si>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</si>
  <si>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</si>
  <si>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</si>
  <si>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</si>
  <si>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</si>
  <si>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</si>
  <si>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</si>
  <si>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</si>
  <si>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</si>
  <si>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</si>
  <si>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</si>
  <si>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</si>
  <si>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</si>
  <si>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</si>
  <si>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</si>
  <si>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</si>
  <si>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</si>
  <si>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</si>
  <si>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</si>
  <si>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</si>
  <si>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</si>
  <si>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</si>
  <si>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</si>
  <si>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</si>
  <si>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</si>
  <si>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</si>
  <si>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</si>
  <si>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</si>
  <si>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</si>
  <si>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</si>
  <si>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</si>
  <si>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</si>
  <si>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</si>
  <si>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</si>
  <si>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</si>
  <si>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</si>
  <si>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</si>
  <si>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</si>
  <si>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</si>
  <si>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</si>
  <si>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</si>
  <si>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</si>
  <si>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</si>
  <si>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</si>
  <si>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</si>
  <si>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</si>
  <si>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</si>
  <si>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</si>
  <si>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</si>
  <si>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</si>
  <si>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</si>
  <si>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</si>
  <si>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</si>
  <si>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</si>
  <si>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</si>
  <si>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</si>
  <si>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</si>
  <si>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</si>
  <si>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</si>
  <si>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</si>
  <si>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</si>
  <si>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</si>
  <si>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</si>
  <si>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</si>
  <si>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</si>
  <si>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</si>
  <si>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</si>
  <si>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</si>
  <si>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</si>
  <si>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</si>
  <si>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</si>
  <si>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</si>
  <si>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</si>
  <si>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</si>
  <si>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</si>
  <si>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</si>
  <si>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</si>
  <si>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</si>
  <si>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</si>
  <si>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</si>
  <si>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</si>
  <si>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</si>
  <si>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</si>
  <si>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</si>
  <si>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</si>
  <si>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</si>
  <si>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</si>
  <si>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</si>
  <si>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</si>
  <si>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</si>
  <si>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</si>
  <si>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</si>
  <si>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</si>
  <si>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</si>
  <si>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</si>
  <si>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</si>
  <si>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</si>
  <si>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</si>
  <si>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</si>
  <si>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</si>
  <si>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</si>
  <si>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</si>
  <si>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</si>
  <si>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</si>
  <si>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</si>
  <si>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</si>
  <si>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</si>
  <si>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</si>
  <si>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</si>
  <si>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</si>
  <si>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</si>
  <si>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</si>
  <si>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</si>
  <si>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</si>
  <si>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</si>
  <si>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</si>
  <si>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</si>
  <si>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</si>
  <si>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</si>
  <si>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</si>
  <si>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</si>
  <si>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</si>
  <si>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</si>
  <si>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</si>
  <si>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</si>
  <si>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</si>
  <si>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</si>
  <si>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</si>
  <si>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</si>
  <si>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</si>
  <si>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</si>
  <si>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</si>
  <si>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</si>
  <si>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</si>
  <si>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</si>
  <si>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</si>
  <si>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</si>
  <si>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</si>
  <si>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</si>
  <si>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</si>
  <si>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</si>
  <si>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</si>
  <si>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</si>
  <si>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</si>
  <si>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</si>
  <si>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</si>
  <si>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</si>
  <si>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</si>
  <si>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</si>
  <si>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</si>
  <si>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</si>
  <si>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</si>
  <si>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</si>
  <si>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</si>
  <si>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</si>
  <si>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</si>
  <si>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</si>
  <si>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</si>
  <si>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</si>
  <si>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</si>
  <si>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</si>
  <si>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</si>
  <si>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</si>
  <si>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</si>
  <si>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</si>
  <si>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</si>
  <si>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</si>
  <si>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</si>
  <si>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</si>
  <si>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</si>
  <si>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</si>
  <si>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</si>
  <si>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</si>
  <si>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</si>
  <si>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</si>
  <si>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</si>
  <si>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</si>
  <si>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</si>
  <si>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</si>
  <si>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</si>
  <si>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</si>
  <si>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</si>
  <si>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</si>
  <si>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</si>
  <si>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</si>
  <si>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</si>
  <si>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</si>
  <si>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</si>
  <si>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</si>
  <si>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</si>
  <si>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</si>
  <si>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</si>
  <si>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</si>
  <si>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</si>
  <si>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</si>
  <si>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</si>
  <si>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</si>
  <si>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</si>
  <si>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</si>
  <si>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</si>
  <si>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</si>
  <si>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</si>
  <si>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</si>
  <si>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</si>
  <si>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</si>
  <si>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</si>
  <si>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</si>
  <si>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</si>
  <si>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</si>
  <si>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</si>
  <si>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</si>
  <si>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</si>
  <si>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</si>
  <si>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</si>
  <si>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</si>
  <si>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</si>
  <si>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</si>
  <si>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</si>
  <si>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</si>
  <si>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</si>
  <si>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</si>
  <si>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</si>
  <si>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</si>
  <si>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</si>
  <si>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</si>
  <si>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</si>
  <si>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</si>
  <si>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</si>
  <si>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</si>
  <si>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</si>
  <si>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</si>
  <si>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</si>
  <si>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</si>
  <si>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</si>
  <si>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</si>
  <si>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</si>
  <si>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</si>
  <si>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</si>
  <si>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</si>
  <si>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</si>
  <si>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</si>
  <si>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</si>
  <si>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</si>
  <si>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</si>
  <si>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</si>
  <si>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</si>
  <si>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</si>
  <si>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</si>
  <si>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</si>
  <si>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</si>
  <si>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</si>
  <si>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</si>
  <si>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</si>
  <si>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</si>
  <si>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</si>
  <si>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</si>
  <si>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</si>
  <si>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</si>
  <si>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</si>
  <si>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</si>
  <si>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</si>
  <si>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</si>
  <si>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</si>
  <si>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</si>
  <si>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</si>
  <si>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</si>
  <si>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</si>
  <si>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</si>
  <si>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</si>
  <si>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</si>
  <si>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</si>
  <si>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</si>
  <si>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</si>
  <si>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</si>
  <si>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</si>
  <si>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</si>
  <si>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</si>
  <si>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</si>
  <si>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</si>
  <si>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</si>
  <si>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</si>
  <si>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</si>
  <si>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</si>
  <si>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</si>
  <si>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</si>
  <si>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</si>
  <si>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</si>
  <si>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</si>
  <si>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</si>
  <si>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</si>
  <si>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</si>
  <si>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</si>
  <si>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</si>
  <si>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</si>
  <si>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</si>
  <si>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</si>
  <si>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</si>
  <si>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</si>
  <si>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</si>
  <si>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</si>
  <si>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</si>
  <si>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</si>
  <si>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</si>
  <si>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</si>
  <si>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</si>
  <si>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</si>
  <si>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</si>
  <si>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</si>
  <si>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</si>
  <si>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</si>
  <si>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</si>
  <si>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</si>
  <si>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</si>
  <si>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</si>
  <si>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</si>
  <si>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</si>
  <si>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</si>
  <si>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</si>
  <si>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release/checks.json;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</si>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</sst>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3"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51</v>
      </c>
      <c r="C5" s="6">
        <f>IF(A5=0,0,B5/A5)</f>
        <v>0.70833333333333337</v>
      </c>
      <c r="D5" s="5">
        <f>COUNTIFS($D$12:$D$83,"Blocked")</f>
        <v>0</v>
      </c>
      <c r="E5" s="5">
        <f>SUM($H$12:$H$83)</f>
        <v>357</v>
      </c>
      <c r="F5" s="5">
        <f>SUMIFS($H$12:$H$83,$D$12:$D$83,"&lt;&gt;Completed")</f>
        <v>130</v>
      </c>
      <c r="G5" s="6">
        <f>COUNTIFS($Q$12:$Q$83,"Core",$D$12:$D$83,"Completed")/COUNTIFS($Q$12:$Q$83,"Core")</f>
        <v>0.94444444444444442</v>
      </c>
      <c r="H5" s="7">
        <f>IF(B7&gt;0,SUMIFS($H$12:$H$83,$Q$12:$Q$83,"Core",$D$12:$D$83,"&lt;&gt;Completed")/B7,"Set hours/week")</f>
        <v>0.5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909</v>
      </c>
      <c r="T62" s="14" t="s">
        <v>910</v>
      </c>
      <c r="U62" s="10">
        <f t="shared" si="3"/>
        <v>1</v>
      </c>
    </row>
    <row r="63" spans="1:21" ht="64" customHeight="1">
      <c r="A63" s="10" t="s">
        <v>484</v>
      </c>
      <c r="B63" s="10" t="s">
        <v>463</v>
      </c>
      <c r="C63" s="10" t="s">
        <v>485</v>
      </c>
      <c r="D63" s="14" t="s">
        <v>288</v>
      </c>
      <c r="E63" s="10" t="s">
        <v>477</v>
      </c>
      <c r="F63" s="10"/>
      <c r="G63" s="10" t="str">
        <f t="shared" si="2"/>
        <v>Ready</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3</v>
      </c>
      <c r="D99" s="11">
        <f t="shared" si="8"/>
        <v>3</v>
      </c>
      <c r="E99" s="11">
        <f t="shared" si="9"/>
        <v>0</v>
      </c>
      <c r="F99" s="11">
        <f t="shared" si="10"/>
        <v>0</v>
      </c>
      <c r="G99" s="20">
        <f t="shared" si="11"/>
        <v>0.5</v>
      </c>
      <c r="H99" s="11">
        <f t="shared" si="12"/>
        <v>16</v>
      </c>
      <c r="I99" s="11">
        <f t="shared" si="13"/>
        <v>6</v>
      </c>
      <c r="J99" s="11">
        <f t="shared" si="14"/>
        <v>1</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2026-10-18T10:02:12Z</dcterms:modified>
</cp:coreProperties>
</file>