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b089c77d0840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0ce9e7f58c0a41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008013816a4c18" /><Relationship Type="http://schemas.openxmlformats.org/officeDocument/2006/relationships/theme" Target="/xl/theme/theme1.xml" Id="Rf3d15f9020304e9a" /><Relationship Type="http://schemas.openxmlformats.org/officeDocument/2006/relationships/sharedStrings" Target="/xl/sharedStrings.xml" Id="R8fb196fa9fa545ee" /><Relationship Type="http://schemas.openxmlformats.org/officeDocument/2006/relationships/worksheet" Target="/xl/worksheets/sheet1.xml" Id="R0ce9e7f58c0a4166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f34653f81d4d21" /><Relationship Type="http://schemas.openxmlformats.org/officeDocument/2006/relationships/table" Target="/xl/tables/table2.xml" Id="R1dcc246d22c64cd8" /><Relationship Type="http://schemas.openxmlformats.org/officeDocument/2006/relationships/table" Target="/xl/tables/table3.xml" Id="Ra5dfc374b3d14d84" /><Relationship Type="http://schemas.openxmlformats.org/officeDocument/2006/relationships/table" Target="/xl/tables/table4.xml" Id="R2f96adf74be945cb" /><Relationship Type="http://schemas.openxmlformats.org/officeDocument/2006/relationships/table" Target="/xl/tables/table5.xml" Id="R5f587023e17d40a7" /><Relationship Type="http://schemas.openxmlformats.org/officeDocument/2006/relationships/table" Target="/xl/tables/table6.xml" Id="Re2d4aa6258614135" /><Relationship Type="http://schemas.openxmlformats.org/officeDocument/2006/relationships/table" Target="/xl/tables/table7.xml" Id="R90c78df4f76b41be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11</x:v>
      </x:c>
      <x:c r="C5" s="13" t="n">
        <x:f>IF(A5=0,0,B5/A5)</x:f>
        <x:v>0.18333333333333332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243</x:v>
      </x:c>
      <x:c r="G5" s="13" t="n">
        <x:f>COUNTIFS($Q$12:$Q$71,"Core",$D$12:$D$71,"Completed")/COUNTIFS($Q$12:$Q$71,"Core")</x:f>
        <x:v>0.2037037037037037</x:v>
      </x:c>
      <x:c r="H5" s="14" t="n">
        <x:f>IF(B7&gt;0,SUMIFS($H$12:$H$71,$Q$12:$Q$71,"Core",$D$12:$D$71,"&lt;&gt;Completed")/B7,"Set hours/week")</x:f>
        <x:v>15.916666666666666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Ready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5</x:v>
      </x:c>
      <x:c r="D80" s="19" t="n">
        <x:f>COUNTIFS($B$12:$B$71,A80,$D$12:$D$71,"Not Started")</x:f>
        <x:v>1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0.8333333333333334</x:v>
      </x:c>
      <x:c r="H80" s="19" t="n">
        <x:f>SUMIFS($H$12:$H$71,$B$12:$B$71,A80)</x:f>
        <x:v>24</x:v>
      </x:c>
      <x:c r="I80" s="19" t="n">
        <x:f>SUMIFS($H$12:$H$71,$B$12:$B$71,A80,$D$12:$D$71,"&lt;&gt;Completed")</x:f>
        <x:v>3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9df34653f81d4d21"/>
    <x:tablePart xmlns:r="http://schemas.openxmlformats.org/officeDocument/2006/relationships" r:id="R1dcc246d22c64cd8"/>
    <x:tablePart xmlns:r="http://schemas.openxmlformats.org/officeDocument/2006/relationships" r:id="Ra5dfc374b3d14d84"/>
    <x:tablePart xmlns:r="http://schemas.openxmlformats.org/officeDocument/2006/relationships" r:id="R2f96adf74be945cb"/>
    <x:tablePart xmlns:r="http://schemas.openxmlformats.org/officeDocument/2006/relationships" r:id="R5f587023e17d40a7"/>
    <x:tablePart xmlns:r="http://schemas.openxmlformats.org/officeDocument/2006/relationships" r:id="Re2d4aa6258614135"/>
    <x:tablePart xmlns:r="http://schemas.openxmlformats.org/officeDocument/2006/relationships" r:id="R90c78df4f76b41be"/>
  </x:tableParts>
</x:worksheet>
</file>