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4c6ee570f7425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ustBench-AI" sheetId="1" r:id="R0bf8ae28b8cf49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%"/>
    <x:numFmt numFmtId="201" formatCode="0.0"/>
    <x:numFmt numFmtId="202" formatCode="dd-mmm-yy"/>
    <x:numFmt numFmtId="203" formatCode="0.0000"/>
    <x:numFmt numFmtId="204" formatCode="dd-mmm-yyyy"/>
  </x:numFmts>
  <x:fonts count="8">
    <x:font>
      <x:sz val="11"/>
      <x:name val="Carlito"/>
    </x:font>
    <x:font>
      <x:sz val="10"/>
      <x:color rgb="FF243447"/>
      <x:name val="Arial"/>
    </x:font>
    <x:font>
      <x:b/>
      <x:sz val="16"/>
      <x:color rgb="FF284B63"/>
      <x:name val="Arial"/>
    </x:font>
    <x:font>
      <x:b/>
      <x:sz val="10"/>
      <x:color rgb="FFFFFFFF"/>
      <x:name val="Arial"/>
    </x:font>
    <x:font>
      <x:b/>
      <x:sz val="15"/>
      <x:color rgb="FF284B63"/>
      <x:name val="Arial"/>
    </x:font>
    <x:font>
      <x:sz val="10"/>
      <x:color rgb="FF245A9C"/>
      <x:name val="Arial"/>
    </x:font>
    <x:font>
      <x:b/>
      <x:sz val="11"/>
      <x:color rgb="FFFFFFFF"/>
      <x:name val="Arial"/>
    </x:font>
    <x:font>
      <x:b/>
      <x:sz val="10"/>
      <x:color rgb="FF24344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84B63"/>
      </x:patternFill>
    </x:fill>
    <x:fill>
      <x:patternFill patternType="solid">
        <x:fgColor rgb="FFF2F5F8"/>
      </x:patternFill>
    </x:fill>
    <x:fill>
      <x:patternFill patternType="solid">
        <x:fgColor rgb="FFFFF4D6"/>
      </x:patternFill>
    </x:fill>
  </x:fills>
  <x:borders count="4">
    <x:border>
      <x:left/>
      <x:right/>
      <x:top/>
      <x:bottom/>
      <x:diagonal/>
    </x:border>
    <x:border>
      <x:left/>
      <x:right/>
      <x:top/>
      <x:bottom style="thin">
        <x:color rgb="FF284B63"/>
      </x:bottom>
      <x:diagonal/>
    </x:border>
    <x:border>
      <x:left/>
      <x:right/>
      <x:top/>
      <x:bottom style="thin">
        <x:color rgb="FFFFFFFF"/>
      </x:bottom>
      <x:diagonal/>
    </x:border>
    <x:border>
      <x:left/>
      <x:right/>
      <x:top style="medium">
        <x:color rgb="FF284B63"/>
      </x:top>
      <x:bottom/>
      <x:diagonal/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200" fontId="4" fillId="3" borderId="0" xfId="0" applyNumberFormat="1" applyFont="1" applyFill="1" applyBorder="1" applyAlignment="1">
      <x:alignment horizontal="center" vertical="center"/>
    </x:xf>
    <x:xf numFmtId="201" fontId="4" fillId="3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3" xfId="0" applyNumberFormat="1" applyFont="1" applyFill="1" applyBorder="1" applyAlignment="1">
      <x:alignment vertical="top" wrapText="1"/>
    </x:xf>
    <x:xf numFmtId="0" fontId="1" fillId="4" borderId="3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202" fontId="1" fillId="4" borderId="3" xfId="0" applyNumberFormat="1" applyFont="1" applyFill="1" applyBorder="1" applyAlignment="1">
      <x:alignment vertical="top" wrapText="1"/>
    </x:xf>
    <x:xf numFmtId="202" fontId="1" fillId="4" borderId="0" xfId="0" applyNumberFormat="1" applyFont="1" applyFill="1" applyBorder="1" applyAlignment="1">
      <x:alignment vertical="top" wrapText="1"/>
    </x:xf>
    <x:xf numFmtId="201" fontId="1" fillId="4" borderId="3" xfId="0" applyNumberFormat="1" applyFont="1" applyFill="1" applyBorder="1" applyAlignment="1">
      <x:alignment vertical="top" wrapText="1"/>
    </x:xf>
    <x:xf numFmtId="201" fontId="1" fillId="4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top" wrapText="1"/>
    </x:xf>
    <x:xf numFmtId="203" fontId="1" fillId="4" borderId="0" xfId="0" applyNumberFormat="1" applyFont="1" applyFill="1" applyBorder="1" applyAlignment="1">
      <x:alignment vertical="top" wrapText="1"/>
    </x:xf>
    <x:xf numFmtId="203" fontId="1" fillId="3" borderId="0" xfId="0" applyNumberFormat="1" applyFont="1" applyFill="1" applyBorder="1" applyAlignment="1">
      <x:alignment vertical="top" wrapText="1"/>
    </x:xf>
    <x:xf numFmtId="203" fontId="1" fillId="0" borderId="0" xfId="0" applyNumberFormat="1" applyFont="1" applyFill="1" applyBorder="1" applyAlignment="1">
      <x:alignment vertical="top" wrapText="1"/>
    </x:xf>
    <x:xf numFmtId="204" fontId="1" fillId="3" borderId="0" xfId="0" applyNumberFormat="1" applyFont="1" applyFill="1" applyBorder="1" applyAlignment="1">
      <x:alignment vertical="top" wrapText="1"/>
    </x:xf>
    <x:xf numFmtId="204" fontId="1" fillId="0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9">
    <x:dxf>
      <x:fill>
        <x:patternFill>
          <x:bgColor rgb="FFFFF4D6"/>
        </x:patternFill>
      </x:fill>
    </x:dxf>
    <x:dxf>
      <x:fill>
        <x:patternFill>
          <x:bgColor rgb="FFE5EFFA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E2F1E8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ill>
        <x:patternFill>
          <x:bgColor rgb="FFFCE5E5"/>
        </x:patternFill>
      </x:fill>
    </x:dxf>
    <x:dxf>
      <x:font>
        <x:b/>
        <x:color rgb="FF9C2424"/>
      </x:font>
      <x:fill>
        <x:patternFill>
          <x:bgColor rgb="FFFCE5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c7e8c6a854459e" /><Relationship Type="http://schemas.openxmlformats.org/officeDocument/2006/relationships/theme" Target="/xl/theme/theme1.xml" Id="R28a0f855ca424003" /><Relationship Type="http://schemas.openxmlformats.org/officeDocument/2006/relationships/sharedStrings" Target="/xl/sharedStrings.xml" Id="R85639f69b588440e" /><Relationship Type="http://schemas.openxmlformats.org/officeDocument/2006/relationships/worksheet" Target="/xl/worksheets/sheet1.xml" Id="R0bf8ae28b8cf49ac" /></Relationships>
</file>

<file path=xl/tables/table1.xml><?xml version="1.0" encoding="utf-8"?>
<x:table xmlns:x="http://schemas.openxmlformats.org/spreadsheetml/2006/main" id="1" name="TB_Tasks" displayName="TB_Tasks" ref="A11:U71" headerRowCount="1" totalsRowCount="0" totalsRowShown="0">
  <x:autoFilter ref="A11:U71"/>
  <x:tableColumns count="21">
    <x:tableColumn id="1" name="Task ID"/>
    <x:tableColumn id="2" name="Phase"/>
    <x:tableColumn id="3" name="Task / deliverable"/>
    <x:tableColumn id="4" name="Status"/>
    <x:tableColumn id="5" name="Dependency 1"/>
    <x:tableColumn id="6" name="Dependency 2"/>
    <x:tableColumn id="7" name="Readiness (formula)"/>
    <x:tableColumn id="8" name="Estimate (hours)"/>
    <x:tableColumn id="9" name="Owner"/>
    <x:tableColumn id="10" name="Due date"/>
    <x:tableColumn id="11" name="Implementation steps"/>
    <x:tableColumn id="12" name="Tools / stack"/>
    <x:tableColumn id="13" name="Data / inputs"/>
    <x:tableColumn id="14" name="Acceptance criteria"/>
    <x:tableColumn id="15" name="Expected evidence"/>
    <x:tableColumn id="16" name="Risk / fallback"/>
    <x:tableColumn id="17" name="Scope"/>
    <x:tableColumn id="18" name="Source IDs"/>
    <x:tableColumn id="19" name="Actual evidence link"/>
    <x:tableColumn id="20" name="Blocker / next action"/>
    <x:tableColumn id="21" name="Evidence present (1/0)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TB_Phases" displayName="TB_Phases" ref="A78:J88" headerRowCount="1" totalsRowCount="0" totalsRowShown="0">
  <x:autoFilter ref="A78:J88"/>
  <x:tableColumns count="10">
    <x:tableColumn id="1" name="Phase"/>
    <x:tableColumn id="2" name="Tasks"/>
    <x:tableColumn id="3" name="Completed"/>
    <x:tableColumn id="4" name="Not Started"/>
    <x:tableColumn id="5" name="In Progress"/>
    <x:tableColumn id="6" name="Blocked"/>
    <x:tableColumn id="7" name="Complete %"/>
    <x:tableColumn id="8" name="Planned h"/>
    <x:tableColumn id="9" name="Remaining h"/>
    <x:tableColumn id="10" name="Ready"/>
  </x:tableColumns>
  <x:tableStyleInfo name="TableStyleMedium2" showFirstColumn="0" showLastColumn="0" showRowStripes="0" showColumnStripes="0"/>
</x:table>
</file>

<file path=xl/tables/table3.xml><?xml version="1.0" encoding="utf-8"?>
<x:table xmlns:x="http://schemas.openxmlformats.org/spreadsheetml/2006/main" id="3" name="TB_Data" displayName="TB_Data" ref="A122:G125" headerRowCount="1" totalsRowCount="0" totalsRowShown="0">
  <x:autoFilter ref="A122:G125"/>
  <x:tableColumns count="7">
    <x:tableColumn id="1" name="Data ID"/>
    <x:tableColumn id="2" name="Dataset"/>
    <x:tableColumn id="3" name="Purpose"/>
    <x:tableColumn id="4" name="Source IDs"/>
    <x:tableColumn id="5" name="Acquisition"/>
    <x:tableColumn id="6" name="Split / license / handling"/>
    <x:tableColumn id="7" name="Limitations"/>
  </x:tableColumns>
  <x:tableStyleInfo name="TableStyleMedium2" showFirstColumn="0" showLastColumn="0" showRowStripes="0" showColumnStripes="0"/>
</x:table>
</file>

<file path=xl/tables/table4.xml><?xml version="1.0" encoding="utf-8"?>
<x:table xmlns:x="http://schemas.openxmlformats.org/spreadsheetml/2006/main" id="4" name="TB_Metrics" displayName="TB_Metrics" ref="A130:K137" headerRowCount="1" totalsRowCount="0" totalsRowShown="0">
  <x:autoFilter ref="A130:K137"/>
  <x:tableColumns count="11">
    <x:tableColumn id="1" name="Metric ID"/>
    <x:tableColumn id="2" name="Metric"/>
    <x:tableColumn id="3" name="Definition / denominator"/>
    <x:tableColumn id="4" name="Better direction"/>
    <x:tableColumn id="5" name="Baseline value"/>
    <x:tableColumn id="6" name="Candidate value"/>
    <x:tableColumn id="7" name="Delta (formula)"/>
    <x:tableColumn id="8" name="Unit"/>
    <x:tableColumn id="9" name="Target (optional)"/>
    <x:tableColumn id="10" name="Run / evidence link"/>
    <x:tableColumn id="11" name="Protocol and acceptance guidance"/>
  </x:tableColumns>
  <x:tableStyleInfo name="TableStyleMedium2" showFirstColumn="0" showLastColumn="0" showRowStripes="0" showColumnStripes="0"/>
</x:table>
</file>

<file path=xl/tables/table5.xml><?xml version="1.0" encoding="utf-8"?>
<x:table xmlns:x="http://schemas.openxmlformats.org/spreadsheetml/2006/main" id="5" name="TB_Experiments" displayName="TB_Experiments" ref="A143:K147" headerRowCount="1" totalsRowCount="0" totalsRowShown="0">
  <x:autoFilter ref="A143:K147"/>
  <x:tableColumns count="11">
    <x:tableColumn id="1" name="Experiment ID"/>
    <x:tableColumn id="2" name="Research question"/>
    <x:tableColumn id="3" name="Comparators"/>
    <x:tableColumn id="4" name="Status"/>
    <x:tableColumn id="5" name="Config / run IDs"/>
    <x:tableColumn id="6" name="Result reference"/>
    <x:tableColumn id="7" name="Decision / finding"/>
    <x:tableColumn id="8" name="Compute used"/>
    <x:tableColumn id="9" name="Reviewer"/>
    <x:tableColumn id="10" name="Review date"/>
    <x:tableColumn id="11" name="Controls and analysis"/>
  </x:tableColumns>
  <x:tableStyleInfo name="TableStyleMedium2" showFirstColumn="0" showLastColumn="0" showRowStripes="0" showColumnStripes="0"/>
</x:table>
</file>

<file path=xl/tables/table6.xml><?xml version="1.0" encoding="utf-8"?>
<x:table xmlns:x="http://schemas.openxmlformats.org/spreadsheetml/2006/main" id="6" name="TB_Risks" displayName="TB_Risks" ref="A152:K156" headerRowCount="1" totalsRowCount="0" totalsRowShown="0">
  <x:autoFilter ref="A152:K156"/>
  <x:tableColumns count="11">
    <x:tableColumn id="1" name="Risk ID"/>
    <x:tableColumn id="2" name="Risk"/>
    <x:tableColumn id="3" name="Trigger / concern"/>
    <x:tableColumn id="4" name="Owner"/>
    <x:tableColumn id="5" name="Status"/>
    <x:tableColumn id="6" name="Issue reference"/>
    <x:tableColumn id="7" name="Next action"/>
    <x:tableColumn id="8" name="Review effort h"/>
    <x:tableColumn id="9" name="Due"/>
    <x:tableColumn id="10" name="Evidence"/>
    <x:tableColumn id="11" name="Mitigation"/>
  </x:tableColumns>
  <x:tableStyleInfo name="TableStyleMedium2" showFirstColumn="0" showLastColumn="0" showRowStripes="0" showColumnStripes="0"/>
</x:table>
</file>

<file path=xl/tables/table7.xml><?xml version="1.0" encoding="utf-8"?>
<x:table xmlns:x="http://schemas.openxmlformats.org/spreadsheetml/2006/main" id="7" name="TB_Sources" displayName="TB_Sources" ref="A161:K164" headerRowCount="1" totalsRowCount="0" totalsRowShown="0">
  <x:autoFilter ref="A161:K164"/>
  <x:tableColumns count="11">
    <x:tableColumn id="1" name="Source ID"/>
    <x:tableColumn id="2" name="Primary reference"/>
    <x:tableColumn id="3" name="Use / verification limitation"/>
    <x:tableColumn id="4" name="Checked on"/>
    <x:tableColumn id="5" name="Pinned version"/>
    <x:tableColumn id="6" name="Local access result"/>
    <x:tableColumn id="7" name="License record"/>
    <x:tableColumn id="8" name="Config reference"/>
    <x:tableColumn id="9" name="Owner"/>
    <x:tableColumn id="10" name="Notes"/>
    <x:tableColumn id="11" name="Source URL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8909aa2cc8949b6" /><Relationship Type="http://schemas.openxmlformats.org/officeDocument/2006/relationships/table" Target="/xl/tables/table2.xml" Id="R1ec3ec7826334d3b" /><Relationship Type="http://schemas.openxmlformats.org/officeDocument/2006/relationships/table" Target="/xl/tables/table3.xml" Id="Rd162a523246a437b" /><Relationship Type="http://schemas.openxmlformats.org/officeDocument/2006/relationships/table" Target="/xl/tables/table4.xml" Id="R7934f52de527402e" /><Relationship Type="http://schemas.openxmlformats.org/officeDocument/2006/relationships/table" Target="/xl/tables/table5.xml" Id="R8b573d9f7d2943a5" /><Relationship Type="http://schemas.openxmlformats.org/officeDocument/2006/relationships/table" Target="/xl/tables/table6.xml" Id="R7cd794a4987e468d" /><Relationship Type="http://schemas.openxmlformats.org/officeDocument/2006/relationships/table" Target="/xl/tables/table7.xml" Id="R8524b5f700204d16" /></Relationships>
</file>

<file path=xl/worksheets/sheet1.xml><?xml version="1.0" encoding="utf-8"?>
<x:worksheet xmlns:x="http://schemas.openxmlformats.org/spreadsheetml/2006/main">
  <x:sheetPr>
    <x:tabColor rgb="FF284B63"/>
  </x:sheetPr>
  <x:sheetViews>
    <x:sheetView showGridLines="0" workbookViewId="0">
      <x:pane xSplit="3" ySplit="11" topLeftCell="D12" activePane="bottomRight" state="frozen"/>
    </x:sheetView>
  </x:sheetViews>
  <x:sheetFormatPr defaultRowHeight="15"/>
  <x:cols>
    <x:col min="1" max="1" width="12" hidden="0" customWidth="1"/>
    <x:col min="2" max="2" width="25" hidden="0" customWidth="1"/>
    <x:col min="3" max="3" width="38" hidden="0" customWidth="1"/>
    <x:col min="4" max="4" width="19" hidden="0" customWidth="1"/>
    <x:col min="5" max="5" width="13" hidden="0" customWidth="1"/>
    <x:col min="6" max="6" width="13" hidden="0" customWidth="1"/>
    <x:col min="7" max="7" width="24" hidden="0" customWidth="1"/>
    <x:col min="8" max="8" width="13" hidden="0" customWidth="1"/>
    <x:col min="9" max="9" width="19" hidden="0" customWidth="1"/>
    <x:col min="10" max="10" width="16" hidden="0" customWidth="1"/>
    <x:col min="11" max="11" width="76" hidden="0" customWidth="1"/>
    <x:col min="12" max="12" width="34" hidden="0" customWidth="1"/>
    <x:col min="13" max="13" width="48" hidden="0" customWidth="1"/>
    <x:col min="14" max="14" width="70" hidden="0" customWidth="1"/>
    <x:col min="15" max="15" width="42" hidden="0" customWidth="1"/>
    <x:col min="16" max="16" width="53" hidden="0" customWidth="1"/>
    <x:col min="17" max="17" width="14" hidden="0" customWidth="1"/>
    <x:col min="18" max="18" width="20" hidden="0" customWidth="1"/>
    <x:col min="19" max="19" width="50" hidden="0" customWidth="1"/>
    <x:col min="20" max="20" width="48" hidden="0" customWidth="1"/>
    <x:col min="21" max="21" width="19" hidden="0" customWidth="1"/>
  </x:cols>
  <x:sheetData>
    <x:row r="1" ht="9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</x:row>
    <x:row r="2" ht="29" customHeight="1">
      <x:c r="A2" s="3" t="str">
        <x:v>TrustBench-AI — implementation plan</x:v>
      </x:c>
      <x:c r="B2" s="3"/>
      <x:c r="C2" s="3"/>
      <x:c r="D2" s="3"/>
      <x:c r="E2" s="3"/>
      <x:c r="F2" s="3"/>
      <x:c r="G2" s="3"/>
      <x:c r="H2" s="3"/>
      <x:c r="I2" s="3"/>
      <x:c r="J2" s="3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</x:row>
    <x:row r="3" ht="8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 ht="32" customHeight="1">
      <x:c r="A4" s="9" t="str">
        <x:v>Tasks</x:v>
      </x:c>
      <x:c r="B4" s="9" t="str">
        <x:v>Completed</x:v>
      </x:c>
      <x:c r="C4" s="9" t="str">
        <x:v>Complete %</x:v>
      </x:c>
      <x:c r="D4" s="9" t="str">
        <x:v>Blocked</x:v>
      </x:c>
      <x:c r="E4" s="9" t="str">
        <x:v>Planned h</x:v>
      </x:c>
      <x:c r="F4" s="9" t="str">
        <x:v>Remaining h</x:v>
      </x:c>
      <x:c r="G4" s="9" t="str">
        <x:v>Core complete %</x:v>
      </x:c>
      <x:c r="H4" s="9" t="str">
        <x:v>Core weeks left</x:v>
      </x:c>
      <x:c r="I4" s="9" t="str">
        <x:v>Overdue</x:v>
      </x:c>
      <x:c r="J4" s="9" t="str">
        <x:v>Evidence gaps</x:v>
      </x:c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 ht="30" customHeight="1">
      <x:c r="A5" s="12" t="n">
        <x:f>COUNTA($A$12:$A$71)</x:f>
        <x:v>60</x:v>
      </x:c>
      <x:c r="B5" s="12" t="n">
        <x:f>COUNTIFS($D$12:$D$71,"Completed")</x:f>
        <x:v>8</x:v>
      </x:c>
      <x:c r="C5" s="13" t="n">
        <x:f>IF(A5=0,0,B5/A5)</x:f>
        <x:v>0.13333333333333333</x:v>
      </x:c>
      <x:c r="D5" s="12" t="n">
        <x:f>COUNTIFS($D$12:$D$71,"Blocked")</x:f>
        <x:v>0</x:v>
      </x:c>
      <x:c r="E5" s="12" t="n">
        <x:f>SUM($H$12:$H$71)</x:f>
        <x:v>285</x:v>
      </x:c>
      <x:c r="F5" s="12" t="n">
        <x:f>SUMIFS($H$12:$H$71,$D$12:$D$71,"&lt;&gt;Completed")</x:f>
        <x:v>256</x:v>
      </x:c>
      <x:c r="G5" s="13" t="n">
        <x:f>COUNTIFS($Q$12:$Q$71,"Core",$D$12:$D$71,"Completed")/COUNTIFS($Q$12:$Q$71,"Core")</x:f>
        <x:v>0.14814814814814814</x:v>
      </x:c>
      <x:c r="H5" s="14" t="n">
        <x:f>IF(B7&gt;0,SUMIFS($H$12:$H$71,$Q$12:$Q$71,"Core",$D$12:$D$71,"&lt;&gt;Completed")/B7,"Set hours/week")</x:f>
        <x:v>17</x:v>
      </x:c>
      <x:c r="I5" s="12" t="n">
        <x:f>COUNTIFS($J$12:$J$71,"&gt;0",$J$12:$J$71,"&lt;"&amp;TODAY(),$D$12:$D$71,"&lt;&gt;Completed")</x:f>
        <x:v>0</x:v>
      </x:c>
      <x:c r="J5" s="12" t="n">
        <x:f>COUNTIFS($D$12:$D$71,"Completed")-COUNTIFS($D$12:$D$71,"Completed",$U$12:$U$71,1)</x:f>
        <x:v>0</x:v>
      </x:c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 ht="21" customHeight="1">
      <x:c r="A7" s="2" t="str">
        <x:v>Hours/week</x:v>
      </x:c>
      <x:c r="B7" s="15" t="n">
        <x:v>12</x:v>
      </x:c>
      <x:c r="C7" s="2" t="str">
        <x:v>Effort is an editable planning estimate. Dates and results start blank.</x:v>
      </x:c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 ht="32" customHeight="1">
      <x:c r="A8" s="17" t="str">
        <x:v>Phases: A76</x:v>
      </x:c>
      <x:c r="B8" s="17" t="str">
        <x:v>How to use: A91</x:v>
      </x:c>
      <x:c r="C8" s="17" t="str">
        <x:v>Resources &amp; hardware: A110</x:v>
      </x:c>
      <x:c r="D8" s="17" t="str">
        <x:v>Datasets: A120</x:v>
      </x:c>
      <x:c r="E8" s="17" t="str">
        <x:v>Metrics: A128</x:v>
      </x:c>
      <x:c r="F8" s="17" t="str">
        <x:v>Experiments: A141</x:v>
      </x:c>
      <x:c r="G8" s="17" t="str">
        <x:v>Risks: A150</x:v>
      </x:c>
      <x:c r="H8" s="17" t="str">
        <x:v>Sources: A159</x:v>
      </x:c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 ht="22" customHeight="1">
      <x:c r="A9" s="2" t="str">
        <x:v>Amber cells are editable. Mark Completed only after acceptance checks and an evidence link. Filter Readiness = Ready to choose the next task.</x:v>
      </x:c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 ht="21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 ht="38" customHeight="1">
      <x:c r="A11" s="9" t="str">
        <x:v>Task ID</x:v>
      </x:c>
      <x:c r="B11" s="9" t="str">
        <x:v>Phase</x:v>
      </x:c>
      <x:c r="C11" s="9" t="str">
        <x:v>Task / deliverable</x:v>
      </x:c>
      <x:c r="D11" s="9" t="str">
        <x:v>Status</x:v>
      </x:c>
      <x:c r="E11" s="9" t="str">
        <x:v>Dependency 1</x:v>
      </x:c>
      <x:c r="F11" s="9" t="str">
        <x:v>Dependency 2</x:v>
      </x:c>
      <x:c r="G11" s="9" t="str">
        <x:v>Readiness (formula)</x:v>
      </x:c>
      <x:c r="H11" s="9" t="str">
        <x:v>Estimate (hours)</x:v>
      </x:c>
      <x:c r="I11" s="9" t="str">
        <x:v>Owner</x:v>
      </x:c>
      <x:c r="J11" s="9" t="str">
        <x:v>Due date</x:v>
      </x:c>
      <x:c r="K11" s="9" t="str">
        <x:v>Implementation steps</x:v>
      </x:c>
      <x:c r="L11" s="9" t="str">
        <x:v>Tools / stack</x:v>
      </x:c>
      <x:c r="M11" s="9" t="str">
        <x:v>Data / inputs</x:v>
      </x:c>
      <x:c r="N11" s="9" t="str">
        <x:v>Acceptance criteria</x:v>
      </x:c>
      <x:c r="O11" s="9" t="str">
        <x:v>Expected evidence</x:v>
      </x:c>
      <x:c r="P11" s="9" t="str">
        <x:v>Risk / fallback</x:v>
      </x:c>
      <x:c r="Q11" s="9" t="str">
        <x:v>Scope</x:v>
      </x:c>
      <x:c r="R11" s="9" t="str">
        <x:v>Source IDs</x:v>
      </x:c>
      <x:c r="S11" s="9" t="str">
        <x:v>Actual evidence link</x:v>
      </x:c>
      <x:c r="T11" s="9" t="str">
        <x:v>Blocker / next action</x:v>
      </x:c>
      <x:c r="U11" s="9" t="str">
        <x:v>Evidence present (1/0)</x:v>
      </x:c>
    </x:row>
    <x:row r="12" ht="64" customHeight="1">
      <x:c r="A12" s="21" t="str">
        <x:v>TB-001</x:v>
      </x:c>
      <x:c r="B12" s="21" t="str">
        <x:v>01 Scope &amp; setup</x:v>
      </x:c>
      <x:c r="C12" s="21" t="str">
        <x:v>Define supported agent workflows</x:v>
      </x:c>
      <x:c r="D12" s="22" t="str">
        <x:v>Completed</x:v>
      </x:c>
      <x:c r="E12" s="21" t="str"/>
      <x:c r="F12" s="21" t="str"/>
      <x:c r="G12" s="21" t="str">
        <x:f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x:f>
        <x:v>Done</x:v>
      </x:c>
      <x:c r="H12" s="26" t="n">
        <x:v>3</x:v>
      </x:c>
      <x:c r="I12" s="22" t="str"/>
      <x:c r="J12" s="24"/>
      <x:c r="K12" s="21" t="str">
        <x:v>Choose document lookup, mock email drafting and simulated record updates. Specify user intent and permitted side effects.</x:v>
      </x:c>
      <x:c r="L12" s="21" t="str">
        <x:v>Markdown, JSON Schema</x:v>
      </x:c>
      <x:c r="M12" s="21" t="str">
        <x:v>Three synthetic workflow specifications</x:v>
      </x:c>
      <x:c r="N12" s="21" t="str">
        <x:v>Each workflow has observable success and forbidden-action rules.</x:v>
      </x:c>
      <x:c r="O12" s="21" t="str">
        <x:v>docs/scope.md</x:v>
      </x:c>
      <x:c r="P12" s="21" t="str">
        <x:v>Avoid real external actions in benchmark runs.</x:v>
      </x:c>
      <x:c r="Q12" s="21" t="str">
        <x:v>Core</x:v>
      </x:c>
      <x:c r="R12" s="21" t="str"/>
      <x:c r="S12" s="22" t="str">
        <x:v>/Volumes/MHRJ/TrustBench-AI/docs/scope.md</x:v>
      </x:c>
      <x:c r="T12" s="22" t="str"/>
      <x:c r="U12" s="19" t="n">
        <x:f>IF(LEN(S12)&gt;0,1,0)</x:f>
        <x:v>1</x:v>
      </x:c>
    </x:row>
    <x:row r="13" ht="64" customHeight="1">
      <x:c r="A13" s="19" t="str">
        <x:v>TB-002</x:v>
      </x:c>
      <x:c r="B13" s="19" t="str">
        <x:v>01 Scope &amp; setup</x:v>
      </x:c>
      <x:c r="C13" s="19" t="str">
        <x:v>Map threat model and prior work</x:v>
      </x:c>
      <x:c r="D13" s="23" t="str">
        <x:v>Completed</x:v>
      </x:c>
      <x:c r="E13" s="19" t="str">
        <x:v>TB-001</x:v>
      </x:c>
      <x:c r="F13" s="19" t="str"/>
      <x:c r="G13" s="19" t="str">
        <x:f>IF(NOT(AND(IF(E13="",TRUE,COUNTIFS($A$12:$A$71,E13)=1),IF(F13="",TRUE,COUNTIFS($A$12:$A$71,F13)=1))),"Bad dependency",IF(NOT(AND(IF(E13="",TRUE,COUNTIFS($A$12:$A$71,E13,$D$12:$D$71,"Completed",$U$12:$U$71,1)=1),IF(F13="",TRUE,COUNTIFS($A$12:$A$71,F13,$D$12:$D$71,"Completed",$U$12:$U$71,1)=1))),IF(D13="Completed","Check prerequisites","Waiting"),IF(D13="Completed",IF(S13="","Evidence needed","Done"),IF(D13="Blocked","Blocked",IF(D13="In Progress","In Progress","Ready")))))</x:f>
        <x:v>Done</x:v>
      </x:c>
      <x:c r="H13" s="27" t="n">
        <x:v>5</x:v>
      </x:c>
      <x:c r="I13" s="23" t="str"/>
      <x:c r="J13" s="25"/>
      <x:c r="K13" s="19" t="str">
        <x:v>Document trusted user input, untrusted retrieval/tool outputs, attacker control and assets. Compare AgentDojo and CaMeL.</x:v>
      </x:c>
      <x:c r="L13" s="19" t="str">
        <x:v>Threat-model diagram</x:v>
      </x:c>
      <x:c r="M13" s="19" t="str">
        <x:v>AgentDojo and CaMeL sources</x:v>
      </x:c>
      <x:c r="N13" s="19" t="str">
        <x:v>Attack surface and excluded threats are explicit; no novelty claim.</x:v>
      </x:c>
      <x:c r="O13" s="19" t="str">
        <x:v>docs/threat-model.md</x:v>
      </x:c>
      <x:c r="P13" s="19" t="str">
        <x:v>Provenance tags alone do not prove information-flow security.</x:v>
      </x:c>
      <x:c r="Q13" s="19" t="str">
        <x:v>Core</x:v>
      </x:c>
      <x:c r="R13" s="19" t="str">
        <x:v>TB-S1, TB-S2</x:v>
      </x:c>
      <x:c r="S13" s="23" t="str">
        <x:v>/Volumes/MHRJ/TrustBench-AI/docs/threat-model.md</x:v>
      </x:c>
      <x:c r="T13" s="23" t="str"/>
      <x:c r="U13" s="19" t="n">
        <x:f>IF(LEN(S13)&gt;0,1,0)</x:f>
        <x:v>1</x:v>
      </x:c>
    </x:row>
    <x:row r="14" ht="64" customHeight="1">
      <x:c r="A14" s="20" t="str">
        <x:v>TB-003</x:v>
      </x:c>
      <x:c r="B14" s="20" t="str">
        <x:v>01 Scope &amp; setup</x:v>
      </x:c>
      <x:c r="C14" s="20" t="str">
        <x:v>Lock development environment</x:v>
      </x:c>
      <x:c r="D14" s="23" t="str">
        <x:v>Completed</x:v>
      </x:c>
      <x:c r="E14" s="20" t="str">
        <x:v>TB-001</x:v>
      </x:c>
      <x:c r="F14" s="20" t="str"/>
      <x:c r="G14" s="20" t="str">
        <x:f>IF(NOT(AND(IF(E14="",TRUE,COUNTIFS($A$12:$A$71,E14)=1),IF(F14="",TRUE,COUNTIFS($A$12:$A$71,F14)=1))),"Bad dependency",IF(NOT(AND(IF(E14="",TRUE,COUNTIFS($A$12:$A$71,E14,$D$12:$D$71,"Completed",$U$12:$U$71,1)=1),IF(F14="",TRUE,COUNTIFS($A$12:$A$71,F14,$D$12:$D$71,"Completed",$U$12:$U$71,1)=1))),IF(D14="Completed","Check prerequisites","Waiting"),IF(D14="Completed",IF(S14="","Evidence needed","Done"),IF(D14="Blocked","Blocked",IF(D14="In Progress","In Progress","Ready")))))</x:f>
        <x:v>Done</x:v>
      </x:c>
      <x:c r="H14" s="27" t="n">
        <x:v>3</x:v>
      </x:c>
      <x:c r="I14" s="23" t="str"/>
      <x:c r="J14" s="25"/>
      <x:c r="K14" s="20" t="str">
        <x:v>Create package, dependency lock, linting, deterministic fixture tests and separate dev/test config.</x:v>
      </x:c>
      <x:c r="L14" s="20" t="str">
        <x:v>Python, uv, pytest, Docker</x:v>
      </x:c>
      <x:c r="M14" s="20" t="str">
        <x:v>Pinned Python and library versions</x:v>
      </x:c>
      <x:c r="N14" s="20" t="str">
        <x:v>Fresh checkout installs and runs one fixture without credentials.</x:v>
      </x:c>
      <x:c r="O14" s="20" t="str">
        <x:v>lockfile and CI log</x:v>
      </x:c>
      <x:c r="P14" s="20" t="str">
        <x:v>Pin a compatible set, not untested latest versions.</x:v>
      </x:c>
      <x:c r="Q14" s="20" t="str">
        <x:v>Core</x:v>
      </x:c>
      <x:c r="R14" s="20" t="str"/>
      <x:c r="S14" s="23" t="str">
        <x:v>/Volumes/MHRJ/TrustBench-AI/docs/development-environment.md</x:v>
      </x:c>
      <x:c r="T14" s="23" t="str"/>
      <x:c r="U14" s="19" t="n">
        <x:f>IF(LEN(S14)&gt;0,1,0)</x:f>
        <x:v>1</x:v>
      </x:c>
    </x:row>
    <x:row r="15" ht="64" customHeight="1">
      <x:c r="A15" s="19" t="str">
        <x:v>TB-004</x:v>
      </x:c>
      <x:c r="B15" s="19" t="str">
        <x:v>01 Scope &amp; setup</x:v>
      </x:c>
      <x:c r="C15" s="19" t="str">
        <x:v>Define run and trace contracts</x:v>
      </x:c>
      <x:c r="D15" s="23" t="str">
        <x:v>Completed</x:v>
      </x:c>
      <x:c r="E15" s="19" t="str">
        <x:v>TB-002</x:v>
      </x:c>
      <x:c r="F15" s="19" t="str">
        <x:v>TB-003</x:v>
      </x:c>
      <x:c r="G15" s="19" t="str">
        <x:f>IF(NOT(AND(IF(E15="",TRUE,COUNTIFS($A$12:$A$71,E15)=1),IF(F15="",TRUE,COUNTIFS($A$12:$A$71,F15)=1))),"Bad dependency",IF(NOT(AND(IF(E15="",TRUE,COUNTIFS($A$12:$A$71,E15,$D$12:$D$71,"Completed",$U$12:$U$71,1)=1),IF(F15="",TRUE,COUNTIFS($A$12:$A$71,F15,$D$12:$D$71,"Completed",$U$12:$U$71,1)=1))),IF(D15="Completed","Check prerequisites","Waiting"),IF(D15="Completed",IF(S15="","Evidence needed","Done"),IF(D15="Blocked","Blocked",IF(D15="In Progress","In Progress","Ready")))))</x:f>
        <x:v>Done</x:v>
      </x:c>
      <x:c r="H15" s="27" t="n">
        <x:v>4</x:v>
      </x:c>
      <x:c r="I15" s="23" t="str"/>
      <x:c r="J15" s="25"/>
      <x:c r="K15" s="19" t="str">
        <x:v>Specify run_id, task_id, model revision, prompt hash, seed, tool spans, policy decisions and evaluator version.</x:v>
      </x:c>
      <x:c r="L15" s="19" t="str">
        <x:v>Pydantic, JSONL</x:v>
      </x:c>
      <x:c r="M15" s="19" t="str">
        <x:v>Task and trajectory schemas</x:v>
      </x:c>
      <x:c r="N15" s="19" t="str">
        <x:v>Invalid events are rejected; a trace reconstructs all executed tool calls.</x:v>
      </x:c>
      <x:c r="O15" s="19" t="str">
        <x:v>schemas/ and trace fixture</x:v>
      </x:c>
      <x:c r="P15" s="19" t="str">
        <x:v>Never store API keys in traces.</x:v>
      </x:c>
      <x:c r="Q15" s="19" t="str">
        <x:v>Core</x:v>
      </x:c>
      <x:c r="R15" s="19" t="str"/>
      <x:c r="S15" s="23" t="str">
        <x:v>/Volumes/MHRJ/TrustBench-AI/docs/trace-contract.md</x:v>
      </x:c>
      <x:c r="T15" s="23" t="str"/>
      <x:c r="U15" s="19" t="n">
        <x:f>IF(LEN(S15)&gt;0,1,0)</x:f>
        <x:v>1</x:v>
      </x:c>
    </x:row>
    <x:row r="16" ht="64" customHeight="1">
      <x:c r="A16" s="20" t="str">
        <x:v>TB-005</x:v>
      </x:c>
      <x:c r="B16" s="20" t="str">
        <x:v>01 Scope &amp; setup</x:v>
      </x:c>
      <x:c r="C16" s="20" t="str">
        <x:v>Set compute and spend limits</x:v>
      </x:c>
      <x:c r="D16" s="23" t="str">
        <x:v>Completed</x:v>
      </x:c>
      <x:c r="E16" s="20" t="str">
        <x:v>TB-003</x:v>
      </x:c>
      <x:c r="F16" s="20" t="str"/>
      <x:c r="G16" s="20" t="str">
        <x:f>IF(NOT(AND(IF(E16="",TRUE,COUNTIFS($A$12:$A$71,E16)=1),IF(F16="",TRUE,COUNTIFS($A$12:$A$71,F16)=1))),"Bad dependency",IF(NOT(AND(IF(E16="",TRUE,COUNTIFS($A$12:$A$71,E16,$D$12:$D$71,"Completed",$U$12:$U$71,1)=1),IF(F16="",TRUE,COUNTIFS($A$12:$A$71,F16,$D$12:$D$71,"Completed",$U$12:$U$71,1)=1))),IF(D16="Completed","Check prerequisites","Waiting"),IF(D16="Completed",IF(S16="","Evidence needed","Done"),IF(D16="Blocked","Blocked",IF(D16="In Progress","In Progress","Ready")))))</x:f>
        <x:v>Done</x:v>
      </x:c>
      <x:c r="H16" s="27" t="n">
        <x:v>2</x:v>
      </x:c>
      <x:c r="I16" s="23" t="str"/>
      <x:c r="J16" s="25"/>
      <x:c r="K16" s="20" t="str">
        <x:v>Measure one representative request. Set maximum calls, tokens, retries, elapsed time and currency budget per run.</x:v>
      </x:c>
      <x:c r="L16" s="20" t="str">
        <x:v>Provider usage API, local ledger</x:v>
      </x:c>
      <x:c r="M16" s="20" t="str">
        <x:v>Current provider pricing and pilot logs</x:v>
      </x:c>
      <x:c r="N16" s="20" t="str">
        <x:v>Budget exhaustion cancels pending work and records an explicit outcome.</x:v>
      </x:c>
      <x:c r="O16" s="20" t="str">
        <x:v>configs/budget.yaml</x:v>
      </x:c>
      <x:c r="P16" s="20" t="str">
        <x:v>API costs and rate limits must be checked at execution time.</x:v>
      </x:c>
      <x:c r="Q16" s="20" t="str">
        <x:v>Core</x:v>
      </x:c>
      <x:c r="R16" s="20" t="str"/>
      <x:c r="S16" s="23" t="str">
        <x:v>/Volumes/MHRJ/TrustBench-AI/configs/budget.yaml</x:v>
      </x:c>
      <x:c r="T16" s="23"/>
      <x:c r="U16" s="19" t="n">
        <x:f>IF(LEN(S16)&gt;0,1,0)</x:f>
        <x:v>1</x:v>
      </x:c>
    </x:row>
    <x:row r="17" ht="64" customHeight="1">
      <x:c r="A17" s="19" t="str">
        <x:v>TB-006</x:v>
      </x:c>
      <x:c r="B17" s="19" t="str">
        <x:v>01 Scope &amp; setup</x:v>
      </x:c>
      <x:c r="C17" s="19" t="str">
        <x:v>Freeze experiment protocol</x:v>
      </x:c>
      <x:c r="D17" s="23" t="str">
        <x:v>Completed</x:v>
      </x:c>
      <x:c r="E17" s="19" t="str">
        <x:v>TB-002</x:v>
      </x:c>
      <x:c r="F17" s="19" t="str">
        <x:v>TB-004</x:v>
      </x:c>
      <x:c r="G17" s="19" t="str">
        <x:f>IF(NOT(AND(IF(E17="",TRUE,COUNTIFS($A$12:$A$71,E17)=1),IF(F17="",TRUE,COUNTIFS($A$12:$A$71,F17)=1))),"Bad dependency",IF(NOT(AND(IF(E17="",TRUE,COUNTIFS($A$12:$A$71,E17,$D$12:$D$71,"Completed",$U$12:$U$71,1)=1),IF(F17="",TRUE,COUNTIFS($A$12:$A$71,F17,$D$12:$D$71,"Completed",$U$12:$U$71,1)=1))),IF(D17="Completed","Check prerequisites","Waiting"),IF(D17="Completed",IF(S17="","Evidence needed","Done"),IF(D17="Blocked","Blocked",IF(D17="In Progress","In Progress","Ready")))))</x:f>
        <x:v>Done</x:v>
      </x:c>
      <x:c r="H17" s="27" t="n">
        <x:v>4</x:v>
      </x:c>
      <x:c r="I17" s="23" t="str"/>
      <x:c r="J17" s="25"/>
      <x:c r="K17" s="19" t="str">
        <x:v>Define baseline versus gateway comparisons, primary metrics, paired tasks and model-version policy before tuning.</x:v>
      </x:c>
      <x:c r="L17" s="19" t="str">
        <x:v>YAML, experiment registry</x:v>
      </x:c>
      <x:c r="M17" s="19" t="str">
        <x:v>Research question and threat model</x:v>
      </x:c>
      <x:c r="N17" s="19" t="str">
        <x:v>Protocol specifies exclusions, uncertainty method and holdout policy.</x:v>
      </x:c>
      <x:c r="O17" s="19" t="str">
        <x:v>protocol/preregister.md</x:v>
      </x:c>
      <x:c r="P17" s="19" t="str">
        <x:v>Do not select winning metrics after seeing holdout results.</x:v>
      </x:c>
      <x:c r="Q17" s="19" t="str">
        <x:v>Core</x:v>
      </x:c>
      <x:c r="R17" s="19" t="str"/>
      <x:c r="S17" s="23" t="str">
        <x:v>/Volumes/MHRJ/TrustBench-AI/protocol/preregister.md</x:v>
      </x:c>
      <x:c r="T17" s="23" t="str"/>
      <x:c r="U17" s="19" t="n">
        <x:f>IF(LEN(S17)&gt;0,1,0)</x:f>
        <x:v>1</x:v>
      </x:c>
    </x:row>
    <x:row r="18" ht="64" customHeight="1">
      <x:c r="A18" s="21" t="str">
        <x:v>TB-007</x:v>
      </x:c>
      <x:c r="B18" s="21" t="str">
        <x:v>02 Data &amp; fixtures</x:v>
      </x:c>
      <x:c r="C18" s="21" t="str">
        <x:v>Acquire benchmark and permissions</x:v>
      </x:c>
      <x:c r="D18" s="22" t="str">
        <x:v>Completed</x:v>
      </x:c>
      <x:c r="E18" s="21" t="str">
        <x:v>TB-006</x:v>
      </x:c>
      <x:c r="F18" s="21" t="str"/>
      <x:c r="G18" s="21" t="str">
        <x:f>IF(NOT(AND(IF(E18="",TRUE,COUNTIFS($A$12:$A$71,E18)=1),IF(F18="",TRUE,COUNTIFS($A$12:$A$71,F18)=1))),"Bad dependency",IF(NOT(AND(IF(E18="",TRUE,COUNTIFS($A$12:$A$71,E18,$D$12:$D$71,"Completed",$U$12:$U$71,1)=1),IF(F18="",TRUE,COUNTIFS($A$12:$A$71,F18,$D$12:$D$71,"Completed",$U$12:$U$71,1)=1))),IF(D18="Completed","Check prerequisites","Waiting"),IF(D18="Completed",IF(S18="","Evidence needed","Done"),IF(D18="Blocked","Blocked",IF(D18="In Progress","In Progress","Ready")))))</x:f>
        <x:v>Done</x:v>
      </x:c>
      <x:c r="H18" s="26" t="n">
        <x:v>3</x:v>
      </x:c>
      <x:c r="I18" s="22" t="str"/>
      <x:c r="J18" s="24"/>
      <x:c r="K18" s="21" t="str">
        <x:v>Pin AgentDojo commit, inspect license and task setup, and record the chosen suites and exclusions.</x:v>
      </x:c>
      <x:c r="L18" s="21" t="str">
        <x:v>Git, AgentDojo</x:v>
      </x:c>
      <x:c r="M18" s="21" t="str">
        <x:v>Official benchmark repository</x:v>
      </x:c>
      <x:c r="N18" s="21" t="str">
        <x:v>Manifest contains commit, license, suite IDs and download steps.</x:v>
      </x:c>
      <x:c r="O18" s="21" t="str">
        <x:v>data/manifest.json</x:v>
      </x:c>
      <x:c r="P18" s="21" t="str">
        <x:v>Do not label a subset as the full benchmark.</x:v>
      </x:c>
      <x:c r="Q18" s="21" t="str">
        <x:v>Core</x:v>
      </x:c>
      <x:c r="R18" s="21" t="str">
        <x:v>TB-S1</x:v>
      </x:c>
      <x:c r="S18" s="22" t="str">
        <x:v>/Volumes/MHRJ/TrustBench-AI/data/manifest.json</x:v>
      </x:c>
      <x:c r="T18" s="22" t="str"/>
      <x:c r="U18" s="19" t="n">
        <x:f>IF(LEN(S18)&gt;0,1,0)</x:f>
        <x:v>1</x:v>
      </x:c>
    </x:row>
    <x:row r="19" ht="64" customHeight="1">
      <x:c r="A19" s="19" t="str">
        <x:v>TB-008</x:v>
      </x:c>
      <x:c r="B19" s="19" t="str">
        <x:v>02 Data &amp; fixtures</x:v>
      </x:c>
      <x:c r="C19" s="19" t="str">
        <x:v>Create local benign task set</x:v>
      </x:c>
      <x:c r="D19" s="23" t="str">
        <x:v>Completed</x:v>
      </x:c>
      <x:c r="E19" s="19" t="str">
        <x:v>TB-007</x:v>
      </x:c>
      <x:c r="F19" s="19" t="str"/>
      <x:c r="G19" s="19" t="str">
        <x:f>IF(NOT(AND(IF(E19="",TRUE,COUNTIFS($A$12:$A$71,E19)=1),IF(F19="",TRUE,COUNTIFS($A$12:$A$71,F19)=1))),"Bad dependency",IF(NOT(AND(IF(E19="",TRUE,COUNTIFS($A$12:$A$71,E19,$D$12:$D$71,"Completed",$U$12:$U$71,1)=1),IF(F19="",TRUE,COUNTIFS($A$12:$A$71,F19,$D$12:$D$71,"Completed",$U$12:$U$71,1)=1))),IF(D19="Completed","Check prerequisites","Waiting"),IF(D19="Completed",IF(S19="","Evidence needed","Done"),IF(D19="Blocked","Blocked",IF(D19="In Progress","In Progress","Ready")))))</x:f>
        <x:v>Done</x:v>
      </x:c>
      <x:c r="H19" s="27" t="n">
        <x:v>5</x:v>
      </x:c>
      <x:c r="I19" s="23" t="str"/>
      <x:c r="J19" s="25"/>
      <x:c r="K19" s="19" t="str">
        <x:v>Build synthetic users, documents and tool state with explicit expected outcomes for each workflow.</x:v>
      </x:c>
      <x:c r="L19" s="19" t="str">
        <x:v>SQLite, JSON fixtures</x:v>
      </x:c>
      <x:c r="M19" s="19" t="str">
        <x:v>No real personal data</x:v>
      </x:c>
      <x:c r="N19" s="19" t="str">
        <x:v>Every task has an independent state-based success checker.</x:v>
      </x:c>
      <x:c r="O19" s="19" t="str">
        <x:v>data/benign.jsonl</x:v>
      </x:c>
      <x:c r="P19" s="19" t="str">
        <x:v>Avoid model-generated answers serving as sole ground truth.</x:v>
      </x:c>
      <x:c r="Q19" s="19" t="str">
        <x:v>Core</x:v>
      </x:c>
      <x:c r="R19" s="19" t="str"/>
      <x:c r="S19" s="23" t="str">
        <x:v>/Volumes/MHRJ/TrustBench-AI/data/benign.jsonl</x:v>
      </x:c>
      <x:c r="T19" s="23"/>
      <x:c r="U19" s="19" t="n">
        <x:f>IF(LEN(S19)&gt;0,1,0)</x:f>
        <x:v>1</x:v>
      </x:c>
    </x:row>
    <x:row r="20" ht="64" customHeight="1">
      <x:c r="A20" s="20" t="str">
        <x:v>TB-009</x:v>
      </x:c>
      <x:c r="B20" s="20" t="str">
        <x:v>02 Data &amp; fixtures</x:v>
      </x:c>
      <x:c r="C20" s="20" t="str">
        <x:v>Build controlled injection fixtures</x:v>
      </x:c>
      <x:c r="D20" s="23" t="str">
        <x:v>Not Started</x:v>
      </x:c>
      <x:c r="E20" s="20" t="str">
        <x:v>TB-002</x:v>
      </x:c>
      <x:c r="F20" s="20" t="str">
        <x:v>TB-008</x:v>
      </x:c>
      <x:c r="G20" s="20" t="str">
        <x:f>IF(NOT(AND(IF(E20="",TRUE,COUNTIFS($A$12:$A$71,E20)=1),IF(F20="",TRUE,COUNTIFS($A$12:$A$71,F20)=1))),"Bad dependency",IF(NOT(AND(IF(E20="",TRUE,COUNTIFS($A$12:$A$71,E20,$D$12:$D$71,"Completed",$U$12:$U$71,1)=1),IF(F20="",TRUE,COUNTIFS($A$12:$A$71,F20,$D$12:$D$71,"Completed",$U$12:$U$71,1)=1))),IF(D20="Completed","Check prerequisites","Waiting"),IF(D20="Completed",IF(S20="","Evidence needed","Done"),IF(D20="Blocked","Blocked",IF(D20="In Progress","In Progress","Ready")))))</x:f>
        <x:v>Ready</x:v>
      </x:c>
      <x:c r="H20" s="27" t="n">
        <x:v>5</x:v>
      </x:c>
      <x:c r="I20" s="23" t="str"/>
      <x:c r="J20" s="25"/>
      <x:c r="K20" s="20" t="str">
        <x:v>Add untrusted text that tries to alter recipient, tool choice or allowed destination. Keep exfiltration targets as local sinks.</x:v>
      </x:c>
      <x:c r="L20" s="20" t="str">
        <x:v>Fixture generator, pytest</x:v>
      </x:c>
      <x:c r="M20" s="20" t="str">
        <x:v>Synthetic documents and mock tools</x:v>
      </x:c>
      <x:c r="N20" s="20" t="str">
        <x:v>Each case labels entry point, attacker goal and allowed behavior.</x:v>
      </x:c>
      <x:c r="O20" s="20" t="str">
        <x:v>data/attacks.jsonl</x:v>
      </x:c>
      <x:c r="P20" s="20" t="str">
        <x:v>Exercise attacks only against the isolated test environment.</x:v>
      </x:c>
      <x:c r="Q20" s="20" t="str">
        <x:v>Core</x:v>
      </x:c>
      <x:c r="R20" s="20" t="str"/>
      <x:c r="S20" s="23" t="str"/>
      <x:c r="T20" s="23" t="str"/>
      <x:c r="U20" s="19" t="n">
        <x:f>IF(LEN(S20)&gt;0,1,0)</x:f>
        <x:v>0</x:v>
      </x:c>
    </x:row>
    <x:row r="21" ht="64" customHeight="1">
      <x:c r="A21" s="19" t="str">
        <x:v>TB-010</x:v>
      </x:c>
      <x:c r="B21" s="19" t="str">
        <x:v>02 Data &amp; fixtures</x:v>
      </x:c>
      <x:c r="C21" s="19" t="str">
        <x:v>Separate tuning and holdout families</x:v>
      </x:c>
      <x:c r="D21" s="23" t="str">
        <x:v>Not Started</x:v>
      </x:c>
      <x:c r="E21" s="19" t="str">
        <x:v>TB-009</x:v>
      </x:c>
      <x:c r="F21" s="19" t="str"/>
      <x:c r="G21" s="19" t="str">
        <x:f>IF(NOT(AND(IF(E21="",TRUE,COUNTIFS($A$12:$A$71,E21)=1),IF(F21="",TRUE,COUNTIFS($A$12:$A$71,F21)=1))),"Bad dependency",IF(NOT(AND(IF(E21="",TRUE,COUNTIFS($A$12:$A$71,E21,$D$12:$D$71,"Completed",$U$12:$U$71,1)=1),IF(F21="",TRUE,COUNTIFS($A$12:$A$71,F21,$D$12:$D$71,"Completed",$U$12:$U$71,1)=1))),IF(D21="Completed","Check prerequisites","Waiting"),IF(D21="Completed",IF(S21="","Evidence needed","Done"),IF(D21="Blocked","Blocked",IF(D21="In Progress","In Progress","Ready")))))</x:f>
        <x:v>Waiting</x:v>
      </x:c>
      <x:c r="H21" s="27" t="n">
        <x:v>4</x:v>
      </x:c>
      <x:c r="I21" s="23" t="str"/>
      <x:c r="J21" s="25"/>
      <x:c r="K21" s="19" t="str">
        <x:v>Split by task template and attack family. Deduplicate paraphrases and hash the locked holdout manifest.</x:v>
      </x:c>
      <x:c r="L21" s="19" t="str">
        <x:v>Python, content hashing</x:v>
      </x:c>
      <x:c r="M21" s="19" t="str">
        <x:v>Benign and attack fixtures</x:v>
      </x:c>
      <x:c r="N21" s="19" t="str">
        <x:v>No near-duplicate family crosses the tuning/holdout boundary.</x:v>
      </x:c>
      <x:c r="O21" s="19" t="str">
        <x:v>data/splits.json</x:v>
      </x:c>
      <x:c r="P21" s="19" t="str">
        <x:v>Random row splitting can leak attack templates.</x:v>
      </x:c>
      <x:c r="Q21" s="19" t="str">
        <x:v>Core</x:v>
      </x:c>
      <x:c r="R21" s="19" t="str"/>
      <x:c r="S21" s="23" t="str"/>
      <x:c r="T21" s="23" t="str"/>
      <x:c r="U21" s="19" t="n">
        <x:f>IF(LEN(S21)&gt;0,1,0)</x:f>
        <x:v>0</x:v>
      </x:c>
    </x:row>
    <x:row r="22" ht="64" customHeight="1">
      <x:c r="A22" s="20" t="str">
        <x:v>TB-011</x:v>
      </x:c>
      <x:c r="B22" s="20" t="str">
        <x:v>02 Data &amp; fixtures</x:v>
      </x:c>
      <x:c r="C22" s="20" t="str">
        <x:v>Validate dataset and reset semantics</x:v>
      </x:c>
      <x:c r="D22" s="23" t="str">
        <x:v>Not Started</x:v>
      </x:c>
      <x:c r="E22" s="20" t="str">
        <x:v>TB-010</x:v>
      </x:c>
      <x:c r="F22" s="20" t="str"/>
      <x:c r="G22" s="20" t="str">
        <x:f>IF(NOT(AND(IF(E22="",TRUE,COUNTIFS($A$12:$A$71,E22)=1),IF(F22="",TRUE,COUNTIFS($A$12:$A$71,F22)=1))),"Bad dependency",IF(NOT(AND(IF(E22="",TRUE,COUNTIFS($A$12:$A$71,E22,$D$12:$D$71,"Completed",$U$12:$U$71,1)=1),IF(F22="",TRUE,COUNTIFS($A$12:$A$71,F22,$D$12:$D$71,"Completed",$U$12:$U$71,1)=1))),IF(D22="Completed","Check prerequisites","Waiting"),IF(D22="Completed",IF(S22="","Evidence needed","Done"),IF(D22="Blocked","Blocked",IF(D22="In Progress","In Progress","Ready")))))</x:f>
        <x:v>Waiting</x:v>
      </x:c>
      <x:c r="H22" s="27" t="n">
        <x:v>4</x:v>
      </x:c>
      <x:c r="I22" s="23" t="str"/>
      <x:c r="J22" s="25"/>
      <x:c r="K22" s="20" t="str">
        <x:v>Check IDs, missing labels, malformed payloads and deterministic state reset between episodes.</x:v>
      </x:c>
      <x:c r="L22" s="20" t="str">
        <x:v>pytest, SQLite snapshots</x:v>
      </x:c>
      <x:c r="M22" s="20" t="str">
        <x:v>All fixture manifests</x:v>
      </x:c>
      <x:c r="N22" s="20" t="str">
        <x:v>Validation fails on broken labels and cross-run state contamination.</x:v>
      </x:c>
      <x:c r="O22" s="20" t="str">
        <x:v>reports/data-validation.json</x:v>
      </x:c>
      <x:c r="P22" s="20" t="str">
        <x:v>A reset failure invalidates paired comparisons.</x:v>
      </x:c>
      <x:c r="Q22" s="20" t="str">
        <x:v>Core</x:v>
      </x:c>
      <x:c r="R22" s="20" t="str"/>
      <x:c r="S22" s="23" t="str"/>
      <x:c r="T22" s="23" t="str"/>
      <x:c r="U22" s="19" t="n">
        <x:f>IF(LEN(S22)&gt;0,1,0)</x:f>
        <x:v>0</x:v>
      </x:c>
    </x:row>
    <x:row r="23" ht="64" customHeight="1">
      <x:c r="A23" s="19" t="str">
        <x:v>TB-012</x:v>
      </x:c>
      <x:c r="B23" s="19" t="str">
        <x:v>02 Data &amp; fixtures</x:v>
      </x:c>
      <x:c r="C23" s="19" t="str">
        <x:v>Create small end-to-end smoke suite</x:v>
      </x:c>
      <x:c r="D23" s="23" t="str">
        <x:v>Not Started</x:v>
      </x:c>
      <x:c r="E23" s="19" t="str">
        <x:v>TB-011</x:v>
      </x:c>
      <x:c r="F23" s="19" t="str"/>
      <x:c r="G23" s="19" t="str">
        <x:f>IF(NOT(AND(IF(E23="",TRUE,COUNTIFS($A$12:$A$71,E23)=1),IF(F23="",TRUE,COUNTIFS($A$12:$A$71,F23)=1))),"Bad dependency",IF(NOT(AND(IF(E23="",TRUE,COUNTIFS($A$12:$A$71,E23,$D$12:$D$71,"Completed",$U$12:$U$71,1)=1),IF(F23="",TRUE,COUNTIFS($A$12:$A$71,F23,$D$12:$D$71,"Completed",$U$12:$U$71,1)=1))),IF(D23="Completed","Check prerequisites","Waiting"),IF(D23="Completed",IF(S23="","Evidence needed","Done"),IF(D23="Blocked","Blocked",IF(D23="In Progress","In Progress","Ready")))))</x:f>
        <x:v>Waiting</x:v>
      </x:c>
      <x:c r="H23" s="27" t="n">
        <x:v>3</x:v>
      </x:c>
      <x:c r="I23" s="23" t="str"/>
      <x:c r="J23" s="25"/>
      <x:c r="K23" s="19" t="str">
        <x:v>Select one benign and one adversarial case per workflow and expected checker results.</x:v>
      </x:c>
      <x:c r="L23" s="19" t="str">
        <x:v>pytest</x:v>
      </x:c>
      <x:c r="M23" s="19" t="str">
        <x:v>Versioned smoke fixtures</x:v>
      </x:c>
      <x:c r="N23" s="19" t="str">
        <x:v>Runs finish offline with mocked model responses.</x:v>
      </x:c>
      <x:c r="O23" s="19" t="str">
        <x:v>tests/smoke/</x:v>
      </x:c>
      <x:c r="P23" s="19" t="str">
        <x:v>Smoke suite is a functional check, not a performance benchmark.</x:v>
      </x:c>
      <x:c r="Q23" s="19" t="str">
        <x:v>Core</x:v>
      </x:c>
      <x:c r="R23" s="19" t="str"/>
      <x:c r="S23" s="23" t="str"/>
      <x:c r="T23" s="23" t="str"/>
      <x:c r="U23" s="19" t="n">
        <x:f>IF(LEN(S23)&gt;0,1,0)</x:f>
        <x:v>0</x:v>
      </x:c>
    </x:row>
    <x:row r="24" ht="64" customHeight="1">
      <x:c r="A24" s="21" t="str">
        <x:v>TB-013</x:v>
      </x:c>
      <x:c r="B24" s="21" t="str">
        <x:v>03 Agent baseline</x:v>
      </x:c>
      <x:c r="C24" s="21" t="str">
        <x:v>Implement provider-neutral model adapter</x:v>
      </x:c>
      <x:c r="D24" s="22" t="str">
        <x:v>Not Started</x:v>
      </x:c>
      <x:c r="E24" s="21" t="str">
        <x:v>TB-012</x:v>
      </x:c>
      <x:c r="F24" s="21" t="str"/>
      <x:c r="G24" s="21" t="str">
        <x:f>IF(NOT(AND(IF(E24="",TRUE,COUNTIFS($A$12:$A$71,E24)=1),IF(F24="",TRUE,COUNTIFS($A$12:$A$71,F24)=1))),"Bad dependency",IF(NOT(AND(IF(E24="",TRUE,COUNTIFS($A$12:$A$71,E24,$D$12:$D$71,"Completed",$U$12:$U$71,1)=1),IF(F24="",TRUE,COUNTIFS($A$12:$A$71,F24,$D$12:$D$71,"Completed",$U$12:$U$71,1)=1))),IF(D24="Completed","Check prerequisites","Waiting"),IF(D24="Completed",IF(S24="","Evidence needed","Done"),IF(D24="Blocked","Blocked",IF(D24="In Progress","In Progress","Ready")))))</x:f>
        <x:v>Waiting</x:v>
      </x:c>
      <x:c r="H24" s="26" t="n">
        <x:v>4</x:v>
      </x:c>
      <x:c r="I24" s="22" t="str"/>
      <x:c r="J24" s="24"/>
      <x:c r="K24" s="21" t="str">
        <x:v>Normalize messages, tool calls, usage and provider errors. Capture exact model identifiers and generation settings.</x:v>
      </x:c>
      <x:c r="L24" s="21" t="str">
        <x:v>Python SDK, Pydantic</x:v>
      </x:c>
      <x:c r="M24" s="21" t="str">
        <x:v>Mock provider and one chosen provider</x:v>
      </x:c>
      <x:c r="N24" s="21" t="str">
        <x:v>Adapter contract tests pass for valid and malformed responses.</x:v>
      </x:c>
      <x:c r="O24" s="21" t="str">
        <x:v>src/models/</x:v>
      </x:c>
      <x:c r="P24" s="21" t="str">
        <x:v>Provider seed support does not guarantee determinism.</x:v>
      </x:c>
      <x:c r="Q24" s="21" t="str">
        <x:v>Core</x:v>
      </x:c>
      <x:c r="R24" s="21" t="str"/>
      <x:c r="S24" s="22" t="str"/>
      <x:c r="T24" s="22" t="str"/>
      <x:c r="U24" s="19" t="n">
        <x:f>IF(LEN(S24)&gt;0,1,0)</x:f>
        <x:v>0</x:v>
      </x:c>
    </x:row>
    <x:row r="25" ht="64" customHeight="1">
      <x:c r="A25" s="19" t="str">
        <x:v>TB-014</x:v>
      </x:c>
      <x:c r="B25" s="19" t="str">
        <x:v>03 Agent baseline</x:v>
      </x:c>
      <x:c r="C25" s="19" t="str">
        <x:v>Implement isolated tool services</x:v>
      </x:c>
      <x:c r="D25" s="23" t="str">
        <x:v>Not Started</x:v>
      </x:c>
      <x:c r="E25" s="19" t="str">
        <x:v>TB-013</x:v>
      </x:c>
      <x:c r="F25" s="19" t="str"/>
      <x:c r="G25" s="19" t="str">
        <x:f>IF(NOT(AND(IF(E25="",TRUE,COUNTIFS($A$12:$A$71,E25)=1),IF(F25="",TRUE,COUNTIFS($A$12:$A$71,F25)=1))),"Bad dependency",IF(NOT(AND(IF(E25="",TRUE,COUNTIFS($A$12:$A$71,E25,$D$12:$D$71,"Completed",$U$12:$U$71,1)=1),IF(F25="",TRUE,COUNTIFS($A$12:$A$71,F25,$D$12:$D$71,"Completed",$U$12:$U$71,1)=1))),IF(D25="Completed","Check prerequisites","Waiting"),IF(D25="Completed",IF(S25="","Evidence needed","Done"),IF(D25="Blocked","Blocked",IF(D25="In Progress","In Progress","Ready")))))</x:f>
        <x:v>Waiting</x:v>
      </x:c>
      <x:c r="H25" s="27" t="n">
        <x:v>6</x:v>
      </x:c>
      <x:c r="I25" s="23" t="str"/>
      <x:c r="J25" s="25"/>
      <x:c r="K25" s="19" t="str">
        <x:v>Expose schema-validated read/search/draft/update operations over synthetic state. Remove credentials and public network egress.</x:v>
      </x:c>
      <x:c r="L25" s="19" t="str">
        <x:v>FastAPI, Docker, SQLite</x:v>
      </x:c>
      <x:c r="M25" s="19" t="str">
        <x:v>Synthetic fixture state</x:v>
      </x:c>
      <x:c r="N25" s="19" t="str">
        <x:v>Tool integration tests enforce state reset and resource limits.</x:v>
      </x:c>
      <x:c r="O25" s="19" t="str">
        <x:v>src/tools/ and sandbox config</x:v>
      </x:c>
      <x:c r="P25" s="19" t="str">
        <x:v>Containers require restrictive configuration; do not claim universal isolation.</x:v>
      </x:c>
      <x:c r="Q25" s="19" t="str">
        <x:v>Core</x:v>
      </x:c>
      <x:c r="R25" s="19" t="str"/>
      <x:c r="S25" s="23" t="str"/>
      <x:c r="T25" s="23" t="str"/>
      <x:c r="U25" s="19" t="n">
        <x:f>IF(LEN(S25)&gt;0,1,0)</x:f>
        <x:v>0</x:v>
      </x:c>
    </x:row>
    <x:row r="26" ht="64" customHeight="1">
      <x:c r="A26" s="20" t="str">
        <x:v>TB-015</x:v>
      </x:c>
      <x:c r="B26" s="20" t="str">
        <x:v>03 Agent baseline</x:v>
      </x:c>
      <x:c r="C26" s="20" t="str">
        <x:v>Build bounded baseline agent</x:v>
      </x:c>
      <x:c r="D26" s="23" t="str">
        <x:v>Not Started</x:v>
      </x:c>
      <x:c r="E26" s="20" t="str">
        <x:v>TB-014</x:v>
      </x:c>
      <x:c r="F26" s="20" t="str"/>
      <x:c r="G26" s="20" t="str">
        <x:f>IF(NOT(AND(IF(E26="",TRUE,COUNTIFS($A$12:$A$71,E26)=1),IF(F26="",TRUE,COUNTIFS($A$12:$A$71,F26)=1))),"Bad dependency",IF(NOT(AND(IF(E26="",TRUE,COUNTIFS($A$12:$A$71,E26,$D$12:$D$71,"Completed",$U$12:$U$71,1)=1),IF(F26="",TRUE,COUNTIFS($A$12:$A$71,F26,$D$12:$D$71,"Completed",$U$12:$U$71,1)=1))),IF(D26="Completed","Check prerequisites","Waiting"),IF(D26="Completed",IF(S26="","Evidence needed","Done"),IF(D26="Blocked","Blocked",IF(D26="In Progress","In Progress","Ready")))))</x:f>
        <x:v>Waiting</x:v>
      </x:c>
      <x:c r="H26" s="27" t="n">
        <x:v>5</x:v>
      </x:c>
      <x:c r="I26" s="23" t="str"/>
      <x:c r="J26" s="25"/>
      <x:c r="K26" s="20" t="str">
        <x:v>Use a small graph with model, tool and termination nodes. Cap steps and preserve all failures.</x:v>
      </x:c>
      <x:c r="L26" s="20" t="str">
        <x:v>LangGraph or plain state machine</x:v>
      </x:c>
      <x:c r="M26" s="20" t="str">
        <x:v>Model adapter and tool contracts</x:v>
      </x:c>
      <x:c r="N26" s="20" t="str">
        <x:v>All trajectories terminate as success, failure, timeout or budget exhausted.</x:v>
      </x:c>
      <x:c r="O26" s="20" t="str">
        <x:v>src/agent/</x:v>
      </x:c>
      <x:c r="P26" s="20" t="str">
        <x:v>Keep baseline and defended agent generation settings identical.</x:v>
      </x:c>
      <x:c r="Q26" s="20" t="str">
        <x:v>Core</x:v>
      </x:c>
      <x:c r="R26" s="20" t="str">
        <x:v>TB-S3</x:v>
      </x:c>
      <x:c r="S26" s="23" t="str"/>
      <x:c r="T26" s="23" t="str"/>
      <x:c r="U26" s="19" t="n">
        <x:f>IF(LEN(S26)&gt;0,1,0)</x:f>
        <x:v>0</x:v>
      </x:c>
    </x:row>
    <x:row r="27" ht="64" customHeight="1">
      <x:c r="A27" s="19" t="str">
        <x:v>TB-016</x:v>
      </x:c>
      <x:c r="B27" s="19" t="str">
        <x:v>03 Agent baseline</x:v>
      </x:c>
      <x:c r="C27" s="19" t="str">
        <x:v>Add independent outcome evaluators</x:v>
      </x:c>
      <x:c r="D27" s="23" t="str">
        <x:v>Not Started</x:v>
      </x:c>
      <x:c r="E27" s="19" t="str">
        <x:v>TB-015</x:v>
      </x:c>
      <x:c r="F27" s="19" t="str"/>
      <x:c r="G27" s="19" t="str">
        <x:f>IF(NOT(AND(IF(E27="",TRUE,COUNTIFS($A$12:$A$71,E27)=1),IF(F27="",TRUE,COUNTIFS($A$12:$A$71,F27)=1))),"Bad dependency",IF(NOT(AND(IF(E27="",TRUE,COUNTIFS($A$12:$A$71,E27,$D$12:$D$71,"Completed",$U$12:$U$71,1)=1),IF(F27="",TRUE,COUNTIFS($A$12:$A$71,F27,$D$12:$D$71,"Completed",$U$12:$U$71,1)=1))),IF(D27="Completed","Check prerequisites","Waiting"),IF(D27="Completed",IF(S27="","Evidence needed","Done"),IF(D27="Blocked","Blocked",IF(D27="In Progress","In Progress","Ready")))))</x:f>
        <x:v>Waiting</x:v>
      </x:c>
      <x:c r="H27" s="27" t="n">
        <x:v>5</x:v>
      </x:c>
      <x:c r="I27" s="23" t="str"/>
      <x:c r="J27" s="25"/>
      <x:c r="K27" s="19" t="str">
        <x:v>Check final state against intended task, then separately check attacker goals and prohibited side effects.</x:v>
      </x:c>
      <x:c r="L27" s="19" t="str">
        <x:v>Pure Python evaluator functions</x:v>
      </x:c>
      <x:c r="M27" s="19" t="str">
        <x:v>Task contracts and traces</x:v>
      </x:c>
      <x:c r="N27" s="19" t="str">
        <x:v>Known-good and known-bad trajectories produce expected labels.</x:v>
      </x:c>
      <x:c r="O27" s="19" t="str">
        <x:v>tests/evaluators/</x:v>
      </x:c>
      <x:c r="P27" s="19" t="str">
        <x:v>A fluent final answer is not proof of successful execution.</x:v>
      </x:c>
      <x:c r="Q27" s="19" t="str">
        <x:v>Core</x:v>
      </x:c>
      <x:c r="R27" s="19" t="str"/>
      <x:c r="S27" s="23" t="str"/>
      <x:c r="T27" s="23" t="str"/>
      <x:c r="U27" s="19" t="n">
        <x:f>IF(LEN(S27)&gt;0,1,0)</x:f>
        <x:v>0</x:v>
      </x:c>
    </x:row>
    <x:row r="28" ht="64" customHeight="1">
      <x:c r="A28" s="20" t="str">
        <x:v>TB-017</x:v>
      </x:c>
      <x:c r="B28" s="20" t="str">
        <x:v>03 Agent baseline</x:v>
      </x:c>
      <x:c r="C28" s="20" t="str">
        <x:v>Run and store baseline pilot</x:v>
      </x:c>
      <x:c r="D28" s="23" t="str">
        <x:v>Not Started</x:v>
      </x:c>
      <x:c r="E28" s="20" t="str">
        <x:v>TB-016</x:v>
      </x:c>
      <x:c r="F28" s="20" t="str">
        <x:v>TB-005</x:v>
      </x:c>
      <x:c r="G28" s="20" t="str">
        <x:f>IF(NOT(AND(IF(E28="",TRUE,COUNTIFS($A$12:$A$71,E28)=1),IF(F28="",TRUE,COUNTIFS($A$12:$A$71,F28)=1))),"Bad dependency",IF(NOT(AND(IF(E28="",TRUE,COUNTIFS($A$12:$A$71,E28,$D$12:$D$71,"Completed",$U$12:$U$71,1)=1),IF(F28="",TRUE,COUNTIFS($A$12:$A$71,F28,$D$12:$D$71,"Completed",$U$12:$U$71,1)=1))),IF(D28="Completed","Check prerequisites","Waiting"),IF(D28="Completed",IF(S28="","Evidence needed","Done"),IF(D28="Blocked","Blocked",IF(D28="In Progress","In Progress","Ready")))))</x:f>
        <x:v>Waiting</x:v>
      </x:c>
      <x:c r="H28" s="27" t="n">
        <x:v>4</x:v>
      </x:c>
      <x:c r="I28" s="23" t="str"/>
      <x:c r="J28" s="25"/>
      <x:c r="K28" s="20" t="str">
        <x:v>Run tuning tasks with multiple repeats. Persist raw outputs, costs, timestamps and all failures.</x:v>
      </x:c>
      <x:c r="L28" s="20" t="str">
        <x:v>CLI runner, JSONL</x:v>
      </x:c>
      <x:c r="M28" s="20" t="str">
        <x:v>Tuning split only</x:v>
      </x:c>
      <x:c r="N28" s="20" t="str">
        <x:v>A reproducible report links every metric to run IDs.</x:v>
      </x:c>
      <x:c r="O28" s="20" t="str">
        <x:v>runs/baseline-pilot/</x:v>
      </x:c>
      <x:c r="P28" s="20" t="str">
        <x:v>Do not fill metric cells until results are collected.</x:v>
      </x:c>
      <x:c r="Q28" s="20" t="str">
        <x:v>Core</x:v>
      </x:c>
      <x:c r="R28" s="20" t="str"/>
      <x:c r="S28" s="23" t="str"/>
      <x:c r="T28" s="23" t="str"/>
      <x:c r="U28" s="19" t="n">
        <x:f>IF(LEN(S28)&gt;0,1,0)</x:f>
        <x:v>0</x:v>
      </x:c>
    </x:row>
    <x:row r="29" ht="64" customHeight="1">
      <x:c r="A29" s="19" t="str">
        <x:v>TB-018</x:v>
      </x:c>
      <x:c r="B29" s="19" t="str">
        <x:v>03 Agent baseline</x:v>
      </x:c>
      <x:c r="C29" s="19" t="str">
        <x:v>Review failure taxonomy</x:v>
      </x:c>
      <x:c r="D29" s="23" t="str">
        <x:v>Not Started</x:v>
      </x:c>
      <x:c r="E29" s="19" t="str">
        <x:v>TB-017</x:v>
      </x:c>
      <x:c r="F29" s="19" t="str"/>
      <x:c r="G29" s="19" t="str">
        <x:f>IF(NOT(AND(IF(E29="",TRUE,COUNTIFS($A$12:$A$71,E29)=1),IF(F29="",TRUE,COUNTIFS($A$12:$A$71,F29)=1))),"Bad dependency",IF(NOT(AND(IF(E29="",TRUE,COUNTIFS($A$12:$A$71,E29,$D$12:$D$71,"Completed",$U$12:$U$71,1)=1),IF(F29="",TRUE,COUNTIFS($A$12:$A$71,F29,$D$12:$D$71,"Completed",$U$12:$U$71,1)=1))),IF(D29="Completed","Check prerequisites","Waiting"),IF(D29="Completed",IF(S29="","Evidence needed","Done"),IF(D29="Blocked","Blocked",IF(D29="In Progress","In Progress","Ready")))))</x:f>
        <x:v>Waiting</x:v>
      </x:c>
      <x:c r="H29" s="27" t="n">
        <x:v>3</x:v>
      </x:c>
      <x:c r="I29" s="23" t="str"/>
      <x:c r="J29" s="25"/>
      <x:c r="K29" s="19" t="str">
        <x:v>Manually inspect failures and label model reasoning, tool failure, policy failure, timeout and evaluator error.</x:v>
      </x:c>
      <x:c r="L29" s="19" t="str">
        <x:v>Review notebook</x:v>
      </x:c>
      <x:c r="M29" s="19" t="str">
        <x:v>Baseline pilot traces</x:v>
      </x:c>
      <x:c r="N29" s="19" t="str">
        <x:v>Taxonomy includes ambiguous cases and reviewer disagreements.</x:v>
      </x:c>
      <x:c r="O29" s="19" t="str">
        <x:v>reports/failure-taxonomy.csv</x:v>
      </x:c>
      <x:c r="P29" s="19" t="str">
        <x:v>Use this to refine tuning fixtures only.</x:v>
      </x:c>
      <x:c r="Q29" s="19" t="str">
        <x:v>Core</x:v>
      </x:c>
      <x:c r="R29" s="19" t="str"/>
      <x:c r="S29" s="23" t="str"/>
      <x:c r="T29" s="23" t="str"/>
      <x:c r="U29" s="19" t="n">
        <x:f>IF(LEN(S29)&gt;0,1,0)</x:f>
        <x:v>0</x:v>
      </x:c>
    </x:row>
    <x:row r="30" ht="64" customHeight="1">
      <x:c r="A30" s="21" t="str">
        <x:v>TB-019</x:v>
      </x:c>
      <x:c r="B30" s="21" t="str">
        <x:v>04 Policy gateway</x:v>
      </x:c>
      <x:c r="C30" s="21" t="str">
        <x:v>Implement centralized tool interception</x:v>
      </x:c>
      <x:c r="D30" s="22" t="str">
        <x:v>Not Started</x:v>
      </x:c>
      <x:c r="E30" s="21" t="str">
        <x:v>TB-018</x:v>
      </x:c>
      <x:c r="F30" s="21" t="str"/>
      <x:c r="G30" s="21" t="str">
        <x:f>IF(NOT(AND(IF(E30="",TRUE,COUNTIFS($A$12:$A$71,E30)=1),IF(F30="",TRUE,COUNTIFS($A$12:$A$71,F30)=1))),"Bad dependency",IF(NOT(AND(IF(E30="",TRUE,COUNTIFS($A$12:$A$71,E30,$D$12:$D$71,"Completed",$U$12:$U$71,1)=1),IF(F30="",TRUE,COUNTIFS($A$12:$A$71,F30,$D$12:$D$71,"Completed",$U$12:$U$71,1)=1))),IF(D30="Completed","Check prerequisites","Waiting"),IF(D30="Completed",IF(S30="","Evidence needed","Done"),IF(D30="Blocked","Blocked",IF(D30="In Progress","In Progress","Ready")))))</x:f>
        <x:v>Waiting</x:v>
      </x:c>
      <x:c r="H30" s="26" t="n">
        <x:v>6</x:v>
      </x:c>
      <x:c r="I30" s="22" t="str"/>
      <x:c r="J30" s="24"/>
      <x:c r="K30" s="21" t="str">
        <x:v>Route every tool call through one gateway before execution; prevent agent access to raw tool clients.</x:v>
      </x:c>
      <x:c r="L30" s="21" t="str">
        <x:v>Python middleware, integration tests</x:v>
      </x:c>
      <x:c r="M30" s="21" t="str">
        <x:v>Tool contracts</x:v>
      </x:c>
      <x:c r="N30" s="21" t="str">
        <x:v>Direct-call bypass fixtures cannot execute a tool.</x:v>
      </x:c>
      <x:c r="O30" s="21" t="str">
        <x:v>src/gateway/</x:v>
      </x:c>
      <x:c r="P30" s="21" t="str">
        <x:v>Model instructions cannot enforce access control.</x:v>
      </x:c>
      <x:c r="Q30" s="21" t="str">
        <x:v>Core</x:v>
      </x:c>
      <x:c r="R30" s="21" t="str"/>
      <x:c r="S30" s="22" t="str"/>
      <x:c r="T30" s="22" t="str"/>
      <x:c r="U30" s="19" t="n">
        <x:f>IF(LEN(S30)&gt;0,1,0)</x:f>
        <x:v>0</x:v>
      </x:c>
    </x:row>
    <x:row r="31" ht="64" customHeight="1">
      <x:c r="A31" s="19" t="str">
        <x:v>TB-020</x:v>
      </x:c>
      <x:c r="B31" s="19" t="str">
        <x:v>04 Policy gateway</x:v>
      </x:c>
      <x:c r="C31" s="19" t="str">
        <x:v>Track provenance through tool outputs</x:v>
      </x:c>
      <x:c r="D31" s="23" t="str">
        <x:v>Not Started</x:v>
      </x:c>
      <x:c r="E31" s="19" t="str">
        <x:v>TB-019</x:v>
      </x:c>
      <x:c r="F31" s="19" t="str"/>
      <x:c r="G31" s="19" t="str">
        <x:f>IF(NOT(AND(IF(E31="",TRUE,COUNTIFS($A$12:$A$71,E31)=1),IF(F31="",TRUE,COUNTIFS($A$12:$A$71,F31)=1))),"Bad dependency",IF(NOT(AND(IF(E31="",TRUE,COUNTIFS($A$12:$A$71,E31,$D$12:$D$71,"Completed",$U$12:$U$71,1)=1),IF(F31="",TRUE,COUNTIFS($A$12:$A$71,F31,$D$12:$D$71,"Completed",$U$12:$U$71,1)=1))),IF(D31="Completed","Check prerequisites","Waiting"),IF(D31="Completed",IF(S31="","Evidence needed","Done"),IF(D31="Blocked","Blocked",IF(D31="In Progress","In Progress","Ready")))))</x:f>
        <x:v>Waiting</x:v>
      </x:c>
      <x:c r="H31" s="27" t="n">
        <x:v>6</x:v>
      </x:c>
      <x:c r="I31" s="23" t="str"/>
      <x:c r="J31" s="25"/>
      <x:c r="K31" s="19" t="str">
        <x:v>Attach source IDs and trust labels. Preserve labels during serialization and record transformations.</x:v>
      </x:c>
      <x:c r="L31" s="19" t="str">
        <x:v>Typed wrappers, trace schema</x:v>
      </x:c>
      <x:c r="M31" s="19" t="str">
        <x:v>Retrieved documents and tool outputs</x:v>
      </x:c>
      <x:c r="N31" s="19" t="str">
        <x:v>Unknown or lost provenance is handled explicitly in all adapters.</x:v>
      </x:c>
      <x:c r="O31" s="19" t="str">
        <x:v>tests/provenance/</x:v>
      </x:c>
      <x:c r="P31" s="19" t="str">
        <x:v>Document limitations when model text mixes several sources.</x:v>
      </x:c>
      <x:c r="Q31" s="19" t="str">
        <x:v>Core</x:v>
      </x:c>
      <x:c r="R31" s="19" t="str">
        <x:v>TB-S2</x:v>
      </x:c>
      <x:c r="S31" s="23" t="str"/>
      <x:c r="T31" s="23" t="str"/>
      <x:c r="U31" s="19" t="n">
        <x:f>IF(LEN(S31)&gt;0,1,0)</x:f>
        <x:v>0</x:v>
      </x:c>
    </x:row>
    <x:row r="32" ht="64" customHeight="1">
      <x:c r="A32" s="20" t="str">
        <x:v>TB-021</x:v>
      </x:c>
      <x:c r="B32" s="20" t="str">
        <x:v>04 Policy gateway</x:v>
      </x:c>
      <x:c r="C32" s="20" t="str">
        <x:v>Enforce capabilities and argument policy</x:v>
      </x:c>
      <x:c r="D32" s="23" t="str">
        <x:v>Not Started</x:v>
      </x:c>
      <x:c r="E32" s="20" t="str">
        <x:v>TB-020</x:v>
      </x:c>
      <x:c r="F32" s="20" t="str"/>
      <x:c r="G32" s="20" t="str">
        <x:f>IF(NOT(AND(IF(E32="",TRUE,COUNTIFS($A$12:$A$71,E32)=1),IF(F32="",TRUE,COUNTIFS($A$12:$A$71,F32)=1))),"Bad dependency",IF(NOT(AND(IF(E32="",TRUE,COUNTIFS($A$12:$A$71,E32,$D$12:$D$71,"Completed",$U$12:$U$71,1)=1),IF(F32="",TRUE,COUNTIFS($A$12:$A$71,F32,$D$12:$D$71,"Completed",$U$12:$U$71,1)=1))),IF(D32="Completed","Check prerequisites","Waiting"),IF(D32="Completed",IF(S32="","Evidence needed","Done"),IF(D32="Blocked","Blocked",IF(D32="In Progress","In Progress","Ready")))))</x:f>
        <x:v>Waiting</x:v>
      </x:c>
      <x:c r="H32" s="27" t="n">
        <x:v>7</x:v>
      </x:c>
      <x:c r="I32" s="23" t="str"/>
      <x:c r="J32" s="25"/>
      <x:c r="K32" s="20" t="str">
        <x:v>Validate allowed operation, resource, recipient and destination against user-scoped capabilities. Default deny unknown operations.</x:v>
      </x:c>
      <x:c r="L32" s="20" t="str">
        <x:v>Policy rules, JSON Schema</x:v>
      </x:c>
      <x:c r="M32" s="20" t="str">
        <x:v>Per-task capability manifest</x:v>
      </x:c>
      <x:c r="N32" s="20" t="str">
        <x:v>Tampered destinations and excess permissions are blocked before side effects.</x:v>
      </x:c>
      <x:c r="O32" s="20" t="str">
        <x:v>src/policy/</x:v>
      </x:c>
      <x:c r="P32" s="20" t="str">
        <x:v>An allowlist is only as complete as its normalization rules.</x:v>
      </x:c>
      <x:c r="Q32" s="20" t="str">
        <x:v>Core</x:v>
      </x:c>
      <x:c r="R32" s="20" t="str"/>
      <x:c r="S32" s="23" t="str"/>
      <x:c r="T32" s="23" t="str"/>
      <x:c r="U32" s="19" t="n">
        <x:f>IF(LEN(S32)&gt;0,1,0)</x:f>
        <x:v>0</x:v>
      </x:c>
    </x:row>
    <x:row r="33" ht="64" customHeight="1">
      <x:c r="A33" s="19" t="str">
        <x:v>TB-022</x:v>
      </x:c>
      <x:c r="B33" s="19" t="str">
        <x:v>04 Policy gateway</x:v>
      </x:c>
      <x:c r="C33" s="19" t="str">
        <x:v>Add approval and replay-safe actions</x:v>
      </x:c>
      <x:c r="D33" s="23" t="str">
        <x:v>Not Started</x:v>
      </x:c>
      <x:c r="E33" s="19" t="str">
        <x:v>TB-021</x:v>
      </x:c>
      <x:c r="F33" s="19" t="str"/>
      <x:c r="G33" s="19" t="str">
        <x:f>IF(NOT(AND(IF(E33="",TRUE,COUNTIFS($A$12:$A$71,E33)=1),IF(F33="",TRUE,COUNTIFS($A$12:$A$71,F33)=1))),"Bad dependency",IF(NOT(AND(IF(E33="",TRUE,COUNTIFS($A$12:$A$71,E33,$D$12:$D$71,"Completed",$U$12:$U$71,1)=1),IF(F33="",TRUE,COUNTIFS($A$12:$A$71,F33,$D$12:$D$71,"Completed",$U$12:$U$71,1)=1))),IF(D33="Completed","Check prerequisites","Waiting"),IF(D33="Completed",IF(S33="","Evidence needed","Done"),IF(D33="Blocked","Blocked",IF(D33="In Progress","In Progress","Ready")))))</x:f>
        <x:v>Waiting</x:v>
      </x:c>
      <x:c r="H33" s="27" t="n">
        <x:v>5</x:v>
      </x:c>
      <x:c r="I33" s="23" t="str"/>
      <x:c r="J33" s="25"/>
      <x:c r="K33" s="19" t="str">
        <x:v>Pause consequential mock operations for approval bound to exact arguments. Add expiry, replay protection and idempotency keys.</x:v>
      </x:c>
      <x:c r="L33" s="19" t="str">
        <x:v>LangGraph interrupts, durable store</x:v>
      </x:c>
      <x:c r="M33" s="19" t="str">
        <x:v>Synthetic approval events</x:v>
      </x:c>
      <x:c r="N33" s="19" t="str">
        <x:v>Changed arguments invalidate approval; resume does not duplicate effects.</x:v>
      </x:c>
      <x:c r="O33" s="19" t="str">
        <x:v>tests/approval/</x:v>
      </x:c>
      <x:c r="P33" s="19" t="str">
        <x:v>Graph nodes can restart on resume; isolate side effects.</x:v>
      </x:c>
      <x:c r="Q33" s="19" t="str">
        <x:v>Core</x:v>
      </x:c>
      <x:c r="R33" s="19" t="str">
        <x:v>TB-S3</x:v>
      </x:c>
      <x:c r="S33" s="23" t="str"/>
      <x:c r="T33" s="23" t="str"/>
      <x:c r="U33" s="19" t="n">
        <x:f>IF(LEN(S33)&gt;0,1,0)</x:f>
        <x:v>0</x:v>
      </x:c>
    </x:row>
    <x:row r="34" ht="64" customHeight="1">
      <x:c r="A34" s="20" t="str">
        <x:v>TB-023</x:v>
      </x:c>
      <x:c r="B34" s="20" t="str">
        <x:v>04 Policy gateway</x:v>
      </x:c>
      <x:c r="C34" s="20" t="str">
        <x:v>Test boundary and normalization failures</x:v>
      </x:c>
      <x:c r="D34" s="23" t="str">
        <x:v>Not Started</x:v>
      </x:c>
      <x:c r="E34" s="20" t="str">
        <x:v>TB-022</x:v>
      </x:c>
      <x:c r="F34" s="20" t="str"/>
      <x:c r="G34" s="20" t="str">
        <x:f>IF(NOT(AND(IF(E34="",TRUE,COUNTIFS($A$12:$A$71,E34)=1),IF(F34="",TRUE,COUNTIFS($A$12:$A$71,F34)=1))),"Bad dependency",IF(NOT(AND(IF(E34="",TRUE,COUNTIFS($A$12:$A$71,E34,$D$12:$D$71,"Completed",$U$12:$U$71,1)=1),IF(F34="",TRUE,COUNTIFS($A$12:$A$71,F34,$D$12:$D$71,"Completed",$U$12:$U$71,1)=1))),IF(D34="Completed","Check prerequisites","Waiting"),IF(D34="Completed",IF(S34="","Evidence needed","Done"),IF(D34="Blocked","Blocked",IF(D34="In Progress","In Progress","Ready")))))</x:f>
        <x:v>Waiting</x:v>
      </x:c>
      <x:c r="H34" s="27" t="n">
        <x:v>5</x:v>
      </x:c>
      <x:c r="I34" s="23" t="str"/>
      <x:c r="J34" s="25"/>
      <x:c r="K34" s="20" t="str">
        <x:v>Exercise encoded destinations, missing permissions, cross-user IDs, repeated approvals and malformed tool outputs.</x:v>
      </x:c>
      <x:c r="L34" s="20" t="str">
        <x:v>pytest, property-based tests</x:v>
      </x:c>
      <x:c r="M34" s="20" t="str">
        <x:v>Adversarial policy fixtures</x:v>
      </x:c>
      <x:c r="N34" s="20" t="str">
        <x:v>All declared security invariants have negative and positive tests.</x:v>
      </x:c>
      <x:c r="O34" s="20" t="str">
        <x:v>reports/policy-tests.xml</x:v>
      </x:c>
      <x:c r="P34" s="20" t="str">
        <x:v>Passing fixtures do not prove security against all attacks.</x:v>
      </x:c>
      <x:c r="Q34" s="20" t="str">
        <x:v>Core</x:v>
      </x:c>
      <x:c r="R34" s="20" t="str"/>
      <x:c r="S34" s="23" t="str"/>
      <x:c r="T34" s="23" t="str"/>
      <x:c r="U34" s="19" t="n">
        <x:f>IF(LEN(S34)&gt;0,1,0)</x:f>
        <x:v>0</x:v>
      </x:c>
    </x:row>
    <x:row r="35" ht="64" customHeight="1">
      <x:c r="A35" s="19" t="str">
        <x:v>TB-024</x:v>
      </x:c>
      <x:c r="B35" s="19" t="str">
        <x:v>04 Policy gateway</x:v>
      </x:c>
      <x:c r="C35" s="19" t="str">
        <x:v>Integrate defended-agent workflow</x:v>
      </x:c>
      <x:c r="D35" s="23" t="str">
        <x:v>Not Started</x:v>
      </x:c>
      <x:c r="E35" s="19" t="str">
        <x:v>TB-023</x:v>
      </x:c>
      <x:c r="F35" s="19" t="str">
        <x:v>TB-016</x:v>
      </x:c>
      <x:c r="G35" s="19" t="str">
        <x:f>IF(NOT(AND(IF(E35="",TRUE,COUNTIFS($A$12:$A$71,E35)=1),IF(F35="",TRUE,COUNTIFS($A$12:$A$71,F35)=1))),"Bad dependency",IF(NOT(AND(IF(E35="",TRUE,COUNTIFS($A$12:$A$71,E35,$D$12:$D$71,"Completed",$U$12:$U$71,1)=1),IF(F35="",TRUE,COUNTIFS($A$12:$A$71,F35,$D$12:$D$71,"Completed",$U$12:$U$71,1)=1))),IF(D35="Completed","Check prerequisites","Waiting"),IF(D35="Completed",IF(S35="","Evidence needed","Done"),IF(D35="Blocked","Blocked",IF(D35="In Progress","In Progress","Ready")))))</x:f>
        <x:v>Waiting</x:v>
      </x:c>
      <x:c r="H35" s="27" t="n">
        <x:v>4</x:v>
      </x:c>
      <x:c r="I35" s="23" t="str"/>
      <x:c r="J35" s="25"/>
      <x:c r="K35" s="19" t="str">
        <x:v>Wire gateway into the same baseline agent and run smoke cases with policy decision traces.</x:v>
      </x:c>
      <x:c r="L35" s="19" t="str">
        <x:v>LangGraph, CLI</x:v>
      </x:c>
      <x:c r="M35" s="19" t="str">
        <x:v>Same prompts and tool state</x:v>
      </x:c>
      <x:c r="N35" s="19" t="str">
        <x:v>Only intended gateway behavior differs between comparison arms.</x:v>
      </x:c>
      <x:c r="O35" s="19" t="str">
        <x:v>configs/defended.yaml</x:v>
      </x:c>
      <x:c r="P35" s="19" t="str">
        <x:v>Avoid confounding security changes with stronger model prompts.</x:v>
      </x:c>
      <x:c r="Q35" s="19" t="str">
        <x:v>Core</x:v>
      </x:c>
      <x:c r="R35" s="19" t="str"/>
      <x:c r="S35" s="23" t="str"/>
      <x:c r="T35" s="23" t="str"/>
      <x:c r="U35" s="19" t="n">
        <x:f>IF(LEN(S35)&gt;0,1,0)</x:f>
        <x:v>0</x:v>
      </x:c>
    </x:row>
    <x:row r="36" ht="64" customHeight="1">
      <x:c r="A36" s="21" t="str">
        <x:v>TB-025</x:v>
      </x:c>
      <x:c r="B36" s="21" t="str">
        <x:v>05 Reliability &amp; traces</x:v>
      </x:c>
      <x:c r="C36" s="21" t="str">
        <x:v>Add retries and bounded recovery</x:v>
      </x:c>
      <x:c r="D36" s="22" t="str">
        <x:v>Not Started</x:v>
      </x:c>
      <x:c r="E36" s="21" t="str">
        <x:v>TB-024</x:v>
      </x:c>
      <x:c r="F36" s="21" t="str"/>
      <x:c r="G36" s="21" t="str">
        <x:f>IF(NOT(AND(IF(E36="",TRUE,COUNTIFS($A$12:$A$71,E36)=1),IF(F36="",TRUE,COUNTIFS($A$12:$A$71,F36)=1))),"Bad dependency",IF(NOT(AND(IF(E36="",TRUE,COUNTIFS($A$12:$A$71,E36,$D$12:$D$71,"Completed",$U$12:$U$71,1)=1),IF(F36="",TRUE,COUNTIFS($A$12:$A$71,F36,$D$12:$D$71,"Completed",$U$12:$U$71,1)=1))),IF(D36="Completed","Check prerequisites","Waiting"),IF(D36="Completed",IF(S36="","Evidence needed","Done"),IF(D36="Blocked","Blocked",IF(D36="In Progress","In Progress","Ready")))))</x:f>
        <x:v>Waiting</x:v>
      </x:c>
      <x:c r="H36" s="26" t="n">
        <x:v>5</x:v>
      </x:c>
      <x:c r="I36" s="22" t="str"/>
      <x:c r="J36" s="24"/>
      <x:c r="K36" s="21" t="str">
        <x:v>Retry transient read failures with backoff. Avoid automatic retry of non-idempotent writes.</x:v>
      </x:c>
      <x:c r="L36" s="21" t="str">
        <x:v>Tenacity or explicit retry logic</x:v>
      </x:c>
      <x:c r="M36" s="21" t="str">
        <x:v>Injected timeouts and rate limits</x:v>
      </x:c>
      <x:c r="N36" s="21" t="str">
        <x:v>Retry counts stay within budget and writes are never duplicated.</x:v>
      </x:c>
      <x:c r="O36" s="21" t="str">
        <x:v>tests/recovery/</x:v>
      </x:c>
      <x:c r="P36" s="21" t="str">
        <x:v>Retries can improve success while worsening cost and latency.</x:v>
      </x:c>
      <x:c r="Q36" s="21" t="str">
        <x:v>Core</x:v>
      </x:c>
      <x:c r="R36" s="21" t="str"/>
      <x:c r="S36" s="22" t="str"/>
      <x:c r="T36" s="22" t="str"/>
      <x:c r="U36" s="19" t="n">
        <x:f>IF(LEN(S36)&gt;0,1,0)</x:f>
        <x:v>0</x:v>
      </x:c>
    </x:row>
    <x:row r="37" ht="64" customHeight="1">
      <x:c r="A37" s="19" t="str">
        <x:v>TB-026</x:v>
      </x:c>
      <x:c r="B37" s="19" t="str">
        <x:v>05 Reliability &amp; traces</x:v>
      </x:c>
      <x:c r="C37" s="19" t="str">
        <x:v>Add durable checkpoints and cancellation</x:v>
      </x:c>
      <x:c r="D37" s="23" t="str">
        <x:v>Not Started</x:v>
      </x:c>
      <x:c r="E37" s="19" t="str">
        <x:v>TB-025</x:v>
      </x:c>
      <x:c r="F37" s="19" t="str"/>
      <x:c r="G37" s="19" t="str">
        <x:f>IF(NOT(AND(IF(E37="",TRUE,COUNTIFS($A$12:$A$71,E37)=1),IF(F37="",TRUE,COUNTIFS($A$12:$A$71,F37)=1))),"Bad dependency",IF(NOT(AND(IF(E37="",TRUE,COUNTIFS($A$12:$A$71,E37,$D$12:$D$71,"Completed",$U$12:$U$71,1)=1),IF(F37="",TRUE,COUNTIFS($A$12:$A$71,F37,$D$12:$D$71,"Completed",$U$12:$U$71,1)=1))),IF(D37="Completed","Check prerequisites","Waiting"),IF(D37="Completed",IF(S37="","Evidence needed","Done"),IF(D37="Blocked","Blocked",IF(D37="In Progress","In Progress","Ready")))))</x:f>
        <x:v>Waiting</x:v>
      </x:c>
      <x:c r="H37" s="27" t="n">
        <x:v>4</x:v>
      </x:c>
      <x:c r="I37" s="23" t="str"/>
      <x:c r="J37" s="25"/>
      <x:c r="K37" s="19" t="str">
        <x:v>Persist run state and cancellation markers. Test process restart during read, approval and write phases.</x:v>
      </x:c>
      <x:c r="L37" s="19" t="str">
        <x:v>SQLite/PostgreSQL checkpointer</x:v>
      </x:c>
      <x:c r="M37" s="19" t="str">
        <x:v>Interrupted test runs</x:v>
      </x:c>
      <x:c r="N37" s="19" t="str">
        <x:v>Resume or safe abort yields a single final outcome per run.</x:v>
      </x:c>
      <x:c r="O37" s="19" t="str">
        <x:v>tests/restart/</x:v>
      </x:c>
      <x:c r="P37" s="19" t="str">
        <x:v>Checkpoint stores need access control and retention limits.</x:v>
      </x:c>
      <x:c r="Q37" s="19" t="str">
        <x:v>Core</x:v>
      </x:c>
      <x:c r="R37" s="19" t="str"/>
      <x:c r="S37" s="23" t="str"/>
      <x:c r="T37" s="23" t="str"/>
      <x:c r="U37" s="19" t="n">
        <x:f>IF(LEN(S37)&gt;0,1,0)</x:f>
        <x:v>0</x:v>
      </x:c>
    </x:row>
    <x:row r="38" ht="64" customHeight="1">
      <x:c r="A38" s="20" t="str">
        <x:v>TB-027</x:v>
      </x:c>
      <x:c r="B38" s="20" t="str">
        <x:v>05 Reliability &amp; traces</x:v>
      </x:c>
      <x:c r="C38" s="20" t="str">
        <x:v>Instrument spans and redaction</x:v>
      </x:c>
      <x:c r="D38" s="23" t="str">
        <x:v>Not Started</x:v>
      </x:c>
      <x:c r="E38" s="20" t="str">
        <x:v>TB-026</x:v>
      </x:c>
      <x:c r="F38" s="20" t="str"/>
      <x:c r="G38" s="20" t="str">
        <x:f>IF(NOT(AND(IF(E38="",TRUE,COUNTIFS($A$12:$A$71,E38)=1),IF(F38="",TRUE,COUNTIFS($A$12:$A$71,F38)=1))),"Bad dependency",IF(NOT(AND(IF(E38="",TRUE,COUNTIFS($A$12:$A$71,E38,$D$12:$D$71,"Completed",$U$12:$U$71,1)=1),IF(F38="",TRUE,COUNTIFS($A$12:$A$71,F38,$D$12:$D$71,"Completed",$U$12:$U$71,1)=1))),IF(D38="Completed","Check prerequisites","Waiting"),IF(D38="Completed",IF(S38="","Evidence needed","Done"),IF(D38="Blocked","Blocked",IF(D38="In Progress","In Progress","Ready")))))</x:f>
        <x:v>Waiting</x:v>
      </x:c>
      <x:c r="H38" s="27" t="n">
        <x:v>4</x:v>
      </x:c>
      <x:c r="I38" s="23" t="str"/>
      <x:c r="J38" s="25"/>
      <x:c r="K38" s="20" t="str">
        <x:v>Record model, retrieval, policy and tool timing. Redact sensitive fixtures before export and correlate spans by run ID.</x:v>
      </x:c>
      <x:c r="L38" s="20" t="str">
        <x:v>OpenTelemetry, JSON logs</x:v>
      </x:c>
      <x:c r="M38" s="20" t="str">
        <x:v>Run and tool schemas</x:v>
      </x:c>
      <x:c r="N38" s="20" t="str">
        <x:v>All spans link to runs and contain no seeded secret canaries.</x:v>
      </x:c>
      <x:c r="O38" s="20" t="str">
        <x:v>observability/</x:v>
      </x:c>
      <x:c r="P38" s="20" t="str">
        <x:v>Timing should include queueing when reporting user latency.</x:v>
      </x:c>
      <x:c r="Q38" s="20" t="str">
        <x:v>Core</x:v>
      </x:c>
      <x:c r="R38" s="20" t="str"/>
      <x:c r="S38" s="23" t="str"/>
      <x:c r="T38" s="23" t="str"/>
      <x:c r="U38" s="19" t="n">
        <x:f>IF(LEN(S38)&gt;0,1,0)</x:f>
        <x:v>0</x:v>
      </x:c>
    </x:row>
    <x:row r="39" ht="64" customHeight="1">
      <x:c r="A39" s="19" t="str">
        <x:v>TB-028</x:v>
      </x:c>
      <x:c r="B39" s="19" t="str">
        <x:v>05 Reliability &amp; traces</x:v>
      </x:c>
      <x:c r="C39" s="19" t="str">
        <x:v>Build repeated-run evaluator</x:v>
      </x:c>
      <x:c r="D39" s="23" t="str">
        <x:v>Not Started</x:v>
      </x:c>
      <x:c r="E39" s="19" t="str">
        <x:v>TB-027</x:v>
      </x:c>
      <x:c r="F39" s="19" t="str"/>
      <x:c r="G39" s="19" t="str">
        <x:f>IF(NOT(AND(IF(E39="",TRUE,COUNTIFS($A$12:$A$71,E39)=1),IF(F39="",TRUE,COUNTIFS($A$12:$A$71,F39)=1))),"Bad dependency",IF(NOT(AND(IF(E39="",TRUE,COUNTIFS($A$12:$A$71,E39,$D$12:$D$71,"Completed",$U$12:$U$71,1)=1),IF(F39="",TRUE,COUNTIFS($A$12:$A$71,F39,$D$12:$D$71,"Completed",$U$12:$U$71,1)=1))),IF(D39="Completed","Check prerequisites","Waiting"),IF(D39="Completed",IF(S39="","Evidence needed","Done"),IF(D39="Blocked","Blocked",IF(D39="In Progress","In Progress","Ready")))))</x:f>
        <x:v>Waiting</x:v>
      </x:c>
      <x:c r="H39" s="27" t="n">
        <x:v>5</x:v>
      </x:c>
      <x:c r="I39" s="23" t="str"/>
      <x:c r="J39" s="25"/>
      <x:c r="K39" s="19" t="str">
        <x:v>Execute fixed task-seed schedules. Report per-task success frequency and all-repeats success without pooling away variation.</x:v>
      </x:c>
      <x:c r="L39" s="19" t="str">
        <x:v>Python, NumPy</x:v>
      </x:c>
      <x:c r="M39" s="19" t="str">
        <x:v>Tuning tasks and repeated runs</x:v>
      </x:c>
      <x:c r="N39" s="19" t="str">
        <x:v>Changing run order does not change task pairing or denominators.</x:v>
      </x:c>
      <x:c r="O39" s="19" t="str">
        <x:v>src/evaluation/repeats.py</x:v>
      </x:c>
      <x:c r="P39" s="19" t="str">
        <x:v>Repeated runs of one task are correlated observations.</x:v>
      </x:c>
      <x:c r="Q39" s="19" t="str">
        <x:v>Core</x:v>
      </x:c>
      <x:c r="R39" s="19" t="str"/>
      <x:c r="S39" s="23" t="str"/>
      <x:c r="T39" s="23" t="str"/>
      <x:c r="U39" s="19" t="n">
        <x:f>IF(LEN(S39)&gt;0,1,0)</x:f>
        <x:v>0</x:v>
      </x:c>
    </x:row>
    <x:row r="40" ht="64" customHeight="1">
      <x:c r="A40" s="20" t="str">
        <x:v>TB-029</x:v>
      </x:c>
      <x:c r="B40" s="20" t="str">
        <x:v>05 Reliability &amp; traces</x:v>
      </x:c>
      <x:c r="C40" s="20" t="str">
        <x:v>Localize trajectory failures</x:v>
      </x:c>
      <x:c r="D40" s="23" t="str">
        <x:v>Not Started</x:v>
      </x:c>
      <x:c r="E40" s="20" t="str">
        <x:v>TB-028</x:v>
      </x:c>
      <x:c r="F40" s="20" t="str"/>
      <x:c r="G40" s="20" t="str">
        <x:f>IF(NOT(AND(IF(E40="",TRUE,COUNTIFS($A$12:$A$71,E40)=1),IF(F40="",TRUE,COUNTIFS($A$12:$A$71,F40)=1))),"Bad dependency",IF(NOT(AND(IF(E40="",TRUE,COUNTIFS($A$12:$A$71,E40,$D$12:$D$71,"Completed",$U$12:$U$71,1)=1),IF(F40="",TRUE,COUNTIFS($A$12:$A$71,F40,$D$12:$D$71,"Completed",$U$12:$U$71,1)=1))),IF(D40="Completed","Check prerequisites","Waiting"),IF(D40="Completed",IF(S40="","Evidence needed","Done"),IF(D40="Blocked","Blocked",IF(D40="In Progress","In Progress","Ready")))))</x:f>
        <x:v>Waiting</x:v>
      </x:c>
      <x:c r="H40" s="27" t="n">
        <x:v>6</x:v>
      </x:c>
      <x:c r="I40" s="23" t="str"/>
      <x:c r="J40" s="25"/>
      <x:c r="K40" s="20" t="str">
        <x:v>Use deterministic rule checks to identify first violated contract. Add optional judge labels only after human calibration.</x:v>
      </x:c>
      <x:c r="L40" s="20" t="str">
        <x:v>Trace analyzer, review UI</x:v>
      </x:c>
      <x:c r="M40" s="20" t="str">
        <x:v>Labeled failure traces</x:v>
      </x:c>
      <x:c r="N40" s="20" t="str">
        <x:v>Attribution accuracy is evaluated against reviewed cases.</x:v>
      </x:c>
      <x:c r="O40" s="20" t="str">
        <x:v>reports/attribution.csv</x:v>
      </x:c>
      <x:c r="P40" s="20" t="str">
        <x:v>Correlation with a tool step does not establish causality.</x:v>
      </x:c>
      <x:c r="Q40" s="20" t="str">
        <x:v>Core</x:v>
      </x:c>
      <x:c r="R40" s="20" t="str"/>
      <x:c r="S40" s="23" t="str"/>
      <x:c r="T40" s="23" t="str"/>
      <x:c r="U40" s="19" t="n">
        <x:f>IF(LEN(S40)&gt;0,1,0)</x:f>
        <x:v>0</x:v>
      </x:c>
    </x:row>
    <x:row r="41" ht="64" customHeight="1">
      <x:c r="A41" s="19" t="str">
        <x:v>TB-030</x:v>
      </x:c>
      <x:c r="B41" s="19" t="str">
        <x:v>05 Reliability &amp; traces</x:v>
      </x:c>
      <x:c r="C41" s="19" t="str">
        <x:v>Build review dashboard</x:v>
      </x:c>
      <x:c r="D41" s="23" t="str">
        <x:v>Not Started</x:v>
      </x:c>
      <x:c r="E41" s="19" t="str">
        <x:v>TB-029</x:v>
      </x:c>
      <x:c r="F41" s="19" t="str"/>
      <x:c r="G41" s="19" t="str">
        <x:f>IF(NOT(AND(IF(E41="",TRUE,COUNTIFS($A$12:$A$71,E41)=1),IF(F41="",TRUE,COUNTIFS($A$12:$A$71,F41)=1))),"Bad dependency",IF(NOT(AND(IF(E41="",TRUE,COUNTIFS($A$12:$A$71,E41,$D$12:$D$71,"Completed",$U$12:$U$71,1)=1),IF(F41="",TRUE,COUNTIFS($A$12:$A$71,F41,$D$12:$D$71,"Completed",$U$12:$U$71,1)=1))),IF(D41="Completed","Check prerequisites","Waiting"),IF(D41="Completed",IF(S41="","Evidence needed","Done"),IF(D41="Blocked","Blocked",IF(D41="In Progress","In Progress","Ready")))))</x:f>
        <x:v>Waiting</x:v>
      </x:c>
      <x:c r="H41" s="27" t="n">
        <x:v>5</x:v>
      </x:c>
      <x:c r="I41" s="23" t="str"/>
      <x:c r="J41" s="25"/>
      <x:c r="K41" s="19" t="str">
        <x:v>Show run filters, trace waterfall, policy reason, task outcome and comparison by configuration.</x:v>
      </x:c>
      <x:c r="L41" s="19" t="str">
        <x:v>Streamlit, Plotly</x:v>
      </x:c>
      <x:c r="M41" s="19" t="str">
        <x:v>Versioned run store</x:v>
      </x:c>
      <x:c r="N41" s="19" t="str">
        <x:v>A reviewer can open raw evidence behind any displayed aggregate.</x:v>
      </x:c>
      <x:c r="O41" s="19" t="str">
        <x:v>app/ and screenshots</x:v>
      </x:c>
      <x:c r="P41" s="19" t="str">
        <x:v>Keep sensitive payloads redacted in shared demos.</x:v>
      </x:c>
      <x:c r="Q41" s="19" t="str">
        <x:v>Core</x:v>
      </x:c>
      <x:c r="R41" s="19" t="str"/>
      <x:c r="S41" s="23" t="str"/>
      <x:c r="T41" s="23" t="str"/>
      <x:c r="U41" s="19" t="n">
        <x:f>IF(LEN(S41)&gt;0,1,0)</x:f>
        <x:v>0</x:v>
      </x:c>
    </x:row>
    <x:row r="42" ht="64" customHeight="1">
      <x:c r="A42" s="21" t="str">
        <x:v>TB-031</x:v>
      </x:c>
      <x:c r="B42" s="21" t="str">
        <x:v>06 Evaluation</x:v>
      </x:c>
      <x:c r="C42" s="21" t="str">
        <x:v>Calibrate controls on tuning data</x:v>
      </x:c>
      <x:c r="D42" s="22" t="str">
        <x:v>Not Started</x:v>
      </x:c>
      <x:c r="E42" s="21" t="str">
        <x:v>TB-030</x:v>
      </x:c>
      <x:c r="F42" s="21" t="str">
        <x:v>TB-006</x:v>
      </x:c>
      <x:c r="G42" s="21" t="str">
        <x:f>IF(NOT(AND(IF(E42="",TRUE,COUNTIFS($A$12:$A$71,E42)=1),IF(F42="",TRUE,COUNTIFS($A$12:$A$71,F42)=1))),"Bad dependency",IF(NOT(AND(IF(E42="",TRUE,COUNTIFS($A$12:$A$71,E42,$D$12:$D$71,"Completed",$U$12:$U$71,1)=1),IF(F42="",TRUE,COUNTIFS($A$12:$A$71,F42,$D$12:$D$71,"Completed",$U$12:$U$71,1)=1))),IF(D42="Completed","Check prerequisites","Waiting"),IF(D42="Completed",IF(S42="","Evidence needed","Done"),IF(D42="Blocked","Blocked",IF(D42="In Progress","In Progress","Ready")))))</x:f>
        <x:v>Waiting</x:v>
      </x:c>
      <x:c r="H42" s="26" t="n">
        <x:v>5</x:v>
      </x:c>
      <x:c r="I42" s="22" t="str"/>
      <x:c r="J42" s="24"/>
      <x:c r="K42" s="21" t="str">
        <x:v>Select policy thresholds and reliability settings using only tuning data; freeze final configs.</x:v>
      </x:c>
      <x:c r="L42" s="21" t="str">
        <x:v>Experiment registry</x:v>
      </x:c>
      <x:c r="M42" s="21" t="str">
        <x:v>Tuning split</x:v>
      </x:c>
      <x:c r="N42" s="21" t="str">
        <x:v>Chosen configuration and selection rule are recorded before holdout.</x:v>
      </x:c>
      <x:c r="O42" s="21" t="str">
        <x:v>configs/frozen/</x:v>
      </x:c>
      <x:c r="P42" s="21" t="str">
        <x:v>No guaranteed attack-success reduction is assumed.</x:v>
      </x:c>
      <x:c r="Q42" s="21" t="str">
        <x:v>Core</x:v>
      </x:c>
      <x:c r="R42" s="21" t="str"/>
      <x:c r="S42" s="22" t="str"/>
      <x:c r="T42" s="22" t="str"/>
      <x:c r="U42" s="19" t="n">
        <x:f>IF(LEN(S42)&gt;0,1,0)</x:f>
        <x:v>0</x:v>
      </x:c>
    </x:row>
    <x:row r="43" ht="64" customHeight="1">
      <x:c r="A43" s="19" t="str">
        <x:v>TB-032</x:v>
      </x:c>
      <x:c r="B43" s="19" t="str">
        <x:v>06 Evaluation</x:v>
      </x:c>
      <x:c r="C43" s="19" t="str">
        <x:v>Run paired holdout benchmark</x:v>
      </x:c>
      <x:c r="D43" s="23" t="str">
        <x:v>Not Started</x:v>
      </x:c>
      <x:c r="E43" s="19" t="str">
        <x:v>TB-031</x:v>
      </x:c>
      <x:c r="F43" s="19" t="str">
        <x:v>TB-010</x:v>
      </x:c>
      <x:c r="G43" s="19" t="str">
        <x:f>IF(NOT(AND(IF(E43="",TRUE,COUNTIFS($A$12:$A$71,E43)=1),IF(F43="",TRUE,COUNTIFS($A$12:$A$71,F43)=1))),"Bad dependency",IF(NOT(AND(IF(E43="",TRUE,COUNTIFS($A$12:$A$71,E43,$D$12:$D$71,"Completed",$U$12:$U$71,1)=1),IF(F43="",TRUE,COUNTIFS($A$12:$A$71,F43,$D$12:$D$71,"Completed",$U$12:$U$71,1)=1))),IF(D43="Completed","Check prerequisites","Waiting"),IF(D43="Completed",IF(S43="","Evidence needed","Done"),IF(D43="Blocked","Blocked",IF(D43="In Progress","In Progress","Ready")))))</x:f>
        <x:v>Waiting</x:v>
      </x:c>
      <x:c r="H43" s="27" t="n">
        <x:v>8</x:v>
      </x:c>
      <x:c r="I43" s="23" t="str"/>
      <x:c r="J43" s="25"/>
      <x:c r="K43" s="19" t="str">
        <x:v>Evaluate baseline and defended variants on identical tasks, repeat schedules and model revision within budget.</x:v>
      </x:c>
      <x:c r="L43" s="19" t="str">
        <x:v>Batch runner</x:v>
      </x:c>
      <x:c r="M43" s="19" t="str">
        <x:v>Locked holdout</x:v>
      </x:c>
      <x:c r="N43" s="19" t="str">
        <x:v>Missing runs and provider outages remain visible in the report.</x:v>
      </x:c>
      <x:c r="O43" s="19" t="str">
        <x:v>runs/holdout/</x:v>
      </x:c>
      <x:c r="P43" s="19" t="str">
        <x:v>If provider changes, rerun both arms or label the comparison invalid.</x:v>
      </x:c>
      <x:c r="Q43" s="19" t="str">
        <x:v>Core</x:v>
      </x:c>
      <x:c r="R43" s="19" t="str"/>
      <x:c r="S43" s="23" t="str"/>
      <x:c r="T43" s="23" t="str"/>
      <x:c r="U43" s="19" t="n">
        <x:f>IF(LEN(S43)&gt;0,1,0)</x:f>
        <x:v>0</x:v>
      </x:c>
    </x:row>
    <x:row r="44" ht="64" customHeight="1">
      <x:c r="A44" s="20" t="str">
        <x:v>TB-033</x:v>
      </x:c>
      <x:c r="B44" s="20" t="str">
        <x:v>06 Evaluation</x:v>
      </x:c>
      <x:c r="C44" s="20" t="str">
        <x:v>Compute security and utility metrics</x:v>
      </x:c>
      <x:c r="D44" s="23" t="str">
        <x:v>Not Started</x:v>
      </x:c>
      <x:c r="E44" s="20" t="str">
        <x:v>TB-032</x:v>
      </x:c>
      <x:c r="F44" s="20" t="str"/>
      <x:c r="G44" s="20" t="str">
        <x:f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x:f>
        <x:v>Waiting</x:v>
      </x:c>
      <x:c r="H44" s="27" t="n">
        <x:v>4</x:v>
      </x:c>
      <x:c r="I44" s="23" t="str"/>
      <x:c r="J44" s="25"/>
      <x:c r="K44" s="20" t="str">
        <x:v>Calculate attack success on eligible attacks, benign task completion and false blocks of permitted actions.</x:v>
      </x:c>
      <x:c r="L44" s="20" t="str">
        <x:v>Pandas, SciPy</x:v>
      </x:c>
      <x:c r="M44" s="20" t="str">
        <x:v>Raw task outcomes</x:v>
      </x:c>
      <x:c r="N44" s="20" t="str">
        <x:v>Report numerators, denominators and exclusions for every rate.</x:v>
      </x:c>
      <x:c r="O44" s="20" t="str">
        <x:v>reports/security-utility.csv</x:v>
      </x:c>
      <x:c r="P44" s="20" t="str">
        <x:v>Do not count blocked legitimate tasks as security successes alone.</x:v>
      </x:c>
      <x:c r="Q44" s="20" t="str">
        <x:v>Core</x:v>
      </x:c>
      <x:c r="R44" s="20" t="str"/>
      <x:c r="S44" s="23" t="str"/>
      <x:c r="T44" s="23" t="str"/>
      <x:c r="U44" s="19" t="n">
        <x:f>IF(LEN(S44)&gt;0,1,0)</x:f>
        <x:v>0</x:v>
      </x:c>
    </x:row>
    <x:row r="45" ht="64" customHeight="1">
      <x:c r="A45" s="19" t="str">
        <x:v>TB-034</x:v>
      </x:c>
      <x:c r="B45" s="19" t="str">
        <x:v>06 Evaluation</x:v>
      </x:c>
      <x:c r="C45" s="19" t="str">
        <x:v>Estimate uncertainty and repeatability</x:v>
      </x:c>
      <x:c r="D45" s="23" t="str">
        <x:v>Not Started</x:v>
      </x:c>
      <x:c r="E45" s="19" t="str">
        <x:v>TB-033</x:v>
      </x:c>
      <x:c r="F45" s="19" t="str"/>
      <x:c r="G45" s="19" t="str">
        <x:f>IF(NOT(AND(IF(E45="",TRUE,COUNTIFS($A$12:$A$71,E45)=1),IF(F45="",TRUE,COUNTIFS($A$12:$A$71,F45)=1))),"Bad dependency",IF(NOT(AND(IF(E45="",TRUE,COUNTIFS($A$12:$A$71,E45,$D$12:$D$71,"Completed",$U$12:$U$71,1)=1),IF(F45="",TRUE,COUNTIFS($A$12:$A$71,F45,$D$12:$D$71,"Completed",$U$12:$U$71,1)=1))),IF(D45="Completed","Check prerequisites","Waiting"),IF(D45="Completed",IF(S45="","Evidence needed","Done"),IF(D45="Blocked","Blocked",IF(D45="In Progress","In Progress","Ready")))))</x:f>
        <x:v>Waiting</x:v>
      </x:c>
      <x:c r="H45" s="27" t="n">
        <x:v>5</x:v>
      </x:c>
      <x:c r="I45" s="23" t="str"/>
      <x:c r="J45" s="25"/>
      <x:c r="K45" s="19" t="str">
        <x:v>Bootstrap paired differences at task level; report intervals and per-family slices. Separate zero attacks observed from zero risk.</x:v>
      </x:c>
      <x:c r="L45" s="19" t="str">
        <x:v>SciPy, bootstrap script</x:v>
      </x:c>
      <x:c r="M45" s="19" t="str">
        <x:v>Paired run records</x:v>
      </x:c>
      <x:c r="N45" s="19" t="str">
        <x:v>Seeded analysis reproduces intervals and preserves task clusters.</x:v>
      </x:c>
      <x:c r="O45" s="19" t="str">
        <x:v>reports/uncertainty.json</x:v>
      </x:c>
      <x:c r="P45" s="19" t="str">
        <x:v>Small samples yield wide intervals; report them.</x:v>
      </x:c>
      <x:c r="Q45" s="19" t="str">
        <x:v>Core</x:v>
      </x:c>
      <x:c r="R45" s="19" t="str"/>
      <x:c r="S45" s="23" t="str"/>
      <x:c r="T45" s="23" t="str"/>
      <x:c r="U45" s="19" t="n">
        <x:f>IF(LEN(S45)&gt;0,1,0)</x:f>
        <x:v>0</x:v>
      </x:c>
    </x:row>
    <x:row r="46" ht="64" customHeight="1">
      <x:c r="A46" s="20" t="str">
        <x:v>TB-035</x:v>
      </x:c>
      <x:c r="B46" s="20" t="str">
        <x:v>06 Evaluation</x:v>
      </x:c>
      <x:c r="C46" s="20" t="str">
        <x:v>Measure latency and operating cost</x:v>
      </x:c>
      <x:c r="D46" s="23" t="str">
        <x:v>Not Started</x:v>
      </x:c>
      <x:c r="E46" s="20" t="str">
        <x:v>TB-034</x:v>
      </x:c>
      <x:c r="F46" s="20" t="str"/>
      <x:c r="G46" s="20" t="str">
        <x:f>IF(NOT(AND(IF(E46="",TRUE,COUNTIFS($A$12:$A$71,E46)=1),IF(F46="",TRUE,COUNTIFS($A$12:$A$71,F46)=1))),"Bad dependency",IF(NOT(AND(IF(E46="",TRUE,COUNTIFS($A$12:$A$71,E46,$D$12:$D$71,"Completed",$U$12:$U$71,1)=1),IF(F46="",TRUE,COUNTIFS($A$12:$A$71,F46,$D$12:$D$71,"Completed",$U$12:$U$71,1)=1))),IF(D46="Completed","Check prerequisites","Waiting"),IF(D46="Completed",IF(S46="","Evidence needed","Done"),IF(D46="Blocked","Blocked",IF(D46="In Progress","In Progress","Ready")))))</x:f>
        <x:v>Waiting</x:v>
      </x:c>
      <x:c r="H46" s="27" t="n">
        <x:v>4</x:v>
      </x:c>
      <x:c r="I46" s="23" t="str"/>
      <x:c r="J46" s="25"/>
      <x:c r="K46" s="20" t="str">
        <x:v>Measure p50/p95 end-to-end time and billed tokens/currency per completed task, including failed attempts.</x:v>
      </x:c>
      <x:c r="L46" s="20" t="str">
        <x:v>Trace exporter, cost ledger</x:v>
      </x:c>
      <x:c r="M46" s="20" t="str">
        <x:v>Same workload and rate limits</x:v>
      </x:c>
      <x:c r="N46" s="20" t="str">
        <x:v>Comparison records concurrency, provider price date and retry settings.</x:v>
      </x:c>
      <x:c r="O46" s="20" t="str">
        <x:v>reports/cost-latency.csv</x:v>
      </x:c>
      <x:c r="P46" s="20" t="str">
        <x:v>Do not compare latency under different concurrency settings.</x:v>
      </x:c>
      <x:c r="Q46" s="20" t="str">
        <x:v>Core</x:v>
      </x:c>
      <x:c r="R46" s="20" t="str"/>
      <x:c r="S46" s="23" t="str"/>
      <x:c r="T46" s="23" t="str"/>
      <x:c r="U46" s="19" t="n">
        <x:f>IF(LEN(S46)&gt;0,1,0)</x:f>
        <x:v>0</x:v>
      </x:c>
    </x:row>
    <x:row r="47" ht="64" customHeight="1">
      <x:c r="A47" s="19" t="str">
        <x:v>TB-036</x:v>
      </x:c>
      <x:c r="B47" s="19" t="str">
        <x:v>06 Evaluation</x:v>
      </x:c>
      <x:c r="C47" s="19" t="str">
        <x:v>Run ablations and publish negative results</x:v>
      </x:c>
      <x:c r="D47" s="23" t="str">
        <x:v>Not Started</x:v>
      </x:c>
      <x:c r="E47" s="19" t="str">
        <x:v>TB-035</x:v>
      </x:c>
      <x:c r="F47" s="19" t="str"/>
      <x:c r="G47" s="19" t="str">
        <x:f>IF(NOT(AND(IF(E47="",TRUE,COUNTIFS($A$12:$A$71,E47)=1),IF(F47="",TRUE,COUNTIFS($A$12:$A$71,F47)=1))),"Bad dependency",IF(NOT(AND(IF(E47="",TRUE,COUNTIFS($A$12:$A$71,E47,$D$12:$D$71,"Completed",$U$12:$U$71,1)=1),IF(F47="",TRUE,COUNTIFS($A$12:$A$71,F47,$D$12:$D$71,"Completed",$U$12:$U$71,1)=1))),IF(D47="Completed","Check prerequisites","Waiting"),IF(D47="Completed",IF(S47="","Evidence needed","Done"),IF(D47="Blocked","Blocked",IF(D47="In Progress","In Progress","Ready")))))</x:f>
        <x:v>Waiting</x:v>
      </x:c>
      <x:c r="H47" s="27" t="n">
        <x:v>7</x:v>
      </x:c>
      <x:c r="I47" s="23" t="str"/>
      <x:c r="J47" s="25"/>
      <x:c r="K47" s="19" t="str">
        <x:v>Compare baseline, schema-only policy, capability policy and full provenance/approval system under the same budget.</x:v>
      </x:c>
      <x:c r="L47" s="19" t="str">
        <x:v>Experiment CLI</x:v>
      </x:c>
      <x:c r="M47" s="19" t="str">
        <x:v>Frozen configurations</x:v>
      </x:c>
      <x:c r="N47" s="19" t="str">
        <x:v>Every component claim has an ablation or is labeled untested.</x:v>
      </x:c>
      <x:c r="O47" s="19" t="str">
        <x:v>reports/ablations.csv</x:v>
      </x:c>
      <x:c r="P47" s="19" t="str">
        <x:v>A null or negative result is valid research evidence.</x:v>
      </x:c>
      <x:c r="Q47" s="19" t="str">
        <x:v>Core</x:v>
      </x:c>
      <x:c r="R47" s="19" t="str"/>
      <x:c r="S47" s="23" t="str"/>
      <x:c r="T47" s="23" t="str"/>
      <x:c r="U47" s="19" t="n">
        <x:f>IF(LEN(S47)&gt;0,1,0)</x:f>
        <x:v>0</x:v>
      </x:c>
    </x:row>
    <x:row r="48" ht="64" customHeight="1">
      <x:c r="A48" s="21" t="str">
        <x:v>TB-037</x:v>
      </x:c>
      <x:c r="B48" s="21" t="str">
        <x:v>07 Delivery &amp; operations</x:v>
      </x:c>
      <x:c r="C48" s="21" t="str">
        <x:v>Package reproducible benchmark CLI</x:v>
      </x:c>
      <x:c r="D48" s="22" t="str">
        <x:v>Not Started</x:v>
      </x:c>
      <x:c r="E48" s="21" t="str">
        <x:v>TB-036</x:v>
      </x:c>
      <x:c r="F48" s="21" t="str"/>
      <x:c r="G48" s="21" t="str">
        <x:f>IF(NOT(AND(IF(E48="",TRUE,COUNTIFS($A$12:$A$71,E48)=1),IF(F48="",TRUE,COUNTIFS($A$12:$A$71,F48)=1))),"Bad dependency",IF(NOT(AND(IF(E48="",TRUE,COUNTIFS($A$12:$A$71,E48,$D$12:$D$71,"Completed",$U$12:$U$71,1)=1),IF(F48="",TRUE,COUNTIFS($A$12:$A$71,F48,$D$12:$D$71,"Completed",$U$12:$U$71,1)=1))),IF(D48="Completed","Check prerequisites","Waiting"),IF(D48="Completed",IF(S48="","Evidence needed","Done"),IF(D48="Blocked","Blocked",IF(D48="In Progress","In Progress","Ready")))))</x:f>
        <x:v>Waiting</x:v>
      </x:c>
      <x:c r="H48" s="26" t="n">
        <x:v>4</x:v>
      </x:c>
      <x:c r="I48" s="22" t="str"/>
      <x:c r="J48" s="24"/>
      <x:c r="K48" s="21" t="str">
        <x:v>Provide commands for fixture validation, smoke, benchmark, evaluate and report with configuration files.</x:v>
      </x:c>
      <x:c r="L48" s="21" t="str">
        <x:v>Typer, Docker</x:v>
      </x:c>
      <x:c r="M48" s="21" t="str">
        <x:v>Pinned code and data manifests</x:v>
      </x:c>
      <x:c r="N48" s="21" t="str">
        <x:v>Fresh environment reproduces smoke results and report schema.</x:v>
      </x:c>
      <x:c r="O48" s="21" t="str">
        <x:v>README quickstart</x:v>
      </x:c>
      <x:c r="P48" s="21" t="str">
        <x:v>Full API runs require user-supplied credentials and budget.</x:v>
      </x:c>
      <x:c r="Q48" s="21" t="str">
        <x:v>Core</x:v>
      </x:c>
      <x:c r="R48" s="21" t="str"/>
      <x:c r="S48" s="22" t="str"/>
      <x:c r="T48" s="22" t="str"/>
      <x:c r="U48" s="19" t="n">
        <x:f>IF(LEN(S48)&gt;0,1,0)</x:f>
        <x:v>0</x:v>
      </x:c>
    </x:row>
    <x:row r="49" ht="64" customHeight="1">
      <x:c r="A49" s="19" t="str">
        <x:v>TB-038</x:v>
      </x:c>
      <x:c r="B49" s="19" t="str">
        <x:v>07 Delivery &amp; operations</x:v>
      </x:c>
      <x:c r="C49" s="19" t="str">
        <x:v>Add regression release gate</x:v>
      </x:c>
      <x:c r="D49" s="23" t="str">
        <x:v>Not Started</x:v>
      </x:c>
      <x:c r="E49" s="19" t="str">
        <x:v>TB-037</x:v>
      </x:c>
      <x:c r="F49" s="19" t="str"/>
      <x:c r="G49" s="19" t="str">
        <x:f>IF(NOT(AND(IF(E49="",TRUE,COUNTIFS($A$12:$A$71,E49)=1),IF(F49="",TRUE,COUNTIFS($A$12:$A$71,F49)=1))),"Bad dependency",IF(NOT(AND(IF(E49="",TRUE,COUNTIFS($A$12:$A$71,E49,$D$12:$D$71,"Completed",$U$12:$U$71,1)=1),IF(F49="",TRUE,COUNTIFS($A$12:$A$71,F49,$D$12:$D$71,"Completed",$U$12:$U$71,1)=1))),IF(D49="Completed","Check prerequisites","Waiting"),IF(D49="Completed",IF(S49="","Evidence needed","Done"),IF(D49="Blocked","Blocked",IF(D49="In Progress","In Progress","Ready")))))</x:f>
        <x:v>Waiting</x:v>
      </x:c>
      <x:c r="H49" s="27" t="n">
        <x:v>5</x:v>
      </x:c>
      <x:c r="I49" s="23" t="str"/>
      <x:c r="J49" s="25"/>
      <x:c r="K49" s="19" t="str">
        <x:v>Gate on fixed smoke invariants and preregistered paired-regression tolerances; distinguish inconclusive from pass.</x:v>
      </x:c>
      <x:c r="L49" s="19" t="str">
        <x:v>GitHub Actions, pytest</x:v>
      </x:c>
      <x:c r="M49" s="19" t="str">
        <x:v>Baseline artifacts and tolerance config</x:v>
      </x:c>
      <x:c r="N49" s="19" t="str">
        <x:v>Injected functional/security regressions block the release.</x:v>
      </x:c>
      <x:c r="O49" s="19" t="str">
        <x:v>.github/workflows/</x:v>
      </x:c>
      <x:c r="P49" s="19" t="str">
        <x:v>A noisy model result should not silently pass or trigger endless reruns.</x:v>
      </x:c>
      <x:c r="Q49" s="19" t="str">
        <x:v>Core</x:v>
      </x:c>
      <x:c r="R49" s="19" t="str"/>
      <x:c r="S49" s="23" t="str"/>
      <x:c r="T49" s="23" t="str"/>
      <x:c r="U49" s="19" t="n">
        <x:f>IF(LEN(S49)&gt;0,1,0)</x:f>
        <x:v>0</x:v>
      </x:c>
    </x:row>
    <x:row r="50" ht="64" customHeight="1">
      <x:c r="A50" s="20" t="str">
        <x:v>TB-039</x:v>
      </x:c>
      <x:c r="B50" s="20" t="str">
        <x:v>07 Delivery &amp; operations</x:v>
      </x:c>
      <x:c r="C50" s="20" t="str">
        <x:v>Secure benchmark API and storage</x:v>
      </x:c>
      <x:c r="D50" s="23" t="str">
        <x:v>Not Started</x:v>
      </x:c>
      <x:c r="E50" s="20" t="str">
        <x:v>TB-038</x:v>
      </x:c>
      <x:c r="F50" s="20" t="str"/>
      <x:c r="G50" s="20" t="str">
        <x:f>IF(NOT(AND(IF(E50="",TRUE,COUNTIFS($A$12:$A$71,E50)=1),IF(F50="",TRUE,COUNTIFS($A$12:$A$71,F50)=1))),"Bad dependency",IF(NOT(AND(IF(E50="",TRUE,COUNTIFS($A$12:$A$71,E50,$D$12:$D$71,"Completed",$U$12:$U$71,1)=1),IF(F50="",TRUE,COUNTIFS($A$12:$A$71,F50,$D$12:$D$71,"Completed",$U$12:$U$71,1)=1))),IF(D50="Completed","Check prerequisites","Waiting"),IF(D50="Completed",IF(S50="","Evidence needed","Done"),IF(D50="Blocked","Blocked",IF(D50="In Progress","In Progress","Ready")))))</x:f>
        <x:v>Waiting</x:v>
      </x:c>
      <x:c r="H50" s="27" t="n">
        <x:v>4</x:v>
      </x:c>
      <x:c r="I50" s="23" t="str"/>
      <x:c r="J50" s="25"/>
      <x:c r="K50" s="20" t="str">
        <x:v>Add authentication, per-user run isolation, request quotas and retention/deletion jobs.</x:v>
      </x:c>
      <x:c r="L50" s="20" t="str">
        <x:v>FastAPI, secrets manager</x:v>
      </x:c>
      <x:c r="M50" s="20" t="str">
        <x:v>Synthetic multi-user test cases</x:v>
      </x:c>
      <x:c r="N50" s="20" t="str">
        <x:v>Unauthorized read/run requests fail; deletion removes linked artifacts.</x:v>
      </x:c>
      <x:c r="O50" s="20" t="str">
        <x:v>tests/api-security/</x:v>
      </x:c>
      <x:c r="P50" s="20" t="str">
        <x:v>Use local deployment if hosted identity setup is unavailable.</x:v>
      </x:c>
      <x:c r="Q50" s="20" t="str">
        <x:v>Core</x:v>
      </x:c>
      <x:c r="R50" s="20" t="str"/>
      <x:c r="S50" s="23" t="str"/>
      <x:c r="T50" s="23" t="str"/>
      <x:c r="U50" s="19" t="n">
        <x:f>IF(LEN(S50)&gt;0,1,0)</x:f>
        <x:v>0</x:v>
      </x:c>
    </x:row>
    <x:row r="51" ht="64" customHeight="1">
      <x:c r="A51" s="19" t="str">
        <x:v>TB-040</x:v>
      </x:c>
      <x:c r="B51" s="19" t="str">
        <x:v>07 Delivery &amp; operations</x:v>
      </x:c>
      <x:c r="C51" s="19" t="str">
        <x:v>Exercise faults and resource exhaustion</x:v>
      </x:c>
      <x:c r="D51" s="23" t="str">
        <x:v>Not Started</x:v>
      </x:c>
      <x:c r="E51" s="19" t="str">
        <x:v>TB-039</x:v>
      </x:c>
      <x:c r="F51" s="19" t="str"/>
      <x:c r="G51" s="19" t="str">
        <x:f>IF(NOT(AND(IF(E51="",TRUE,COUNTIFS($A$12:$A$71,E51)=1),IF(F51="",TRUE,COUNTIFS($A$12:$A$71,F51)=1))),"Bad dependency",IF(NOT(AND(IF(E51="",TRUE,COUNTIFS($A$12:$A$71,E51,$D$12:$D$71,"Completed",$U$12:$U$71,1)=1),IF(F51="",TRUE,COUNTIFS($A$12:$A$71,F51,$D$12:$D$71,"Completed",$U$12:$U$71,1)=1))),IF(D51="Completed","Check prerequisites","Waiting"),IF(D51="Completed",IF(S51="","Evidence needed","Done"),IF(D51="Blocked","Blocked",IF(D51="In Progress","In Progress","Ready")))))</x:f>
        <x:v>Waiting</x:v>
      </x:c>
      <x:c r="H51" s="27" t="n">
        <x:v>5</x:v>
      </x:c>
      <x:c r="I51" s="23" t="str"/>
      <x:c r="J51" s="25"/>
      <x:c r="K51" s="19" t="str">
        <x:v>Simulate unavailable model, corrupt checkpoint, tool crash and log-store failure. Check cancellation and clean recovery.</x:v>
      </x:c>
      <x:c r="L51" s="19" t="str">
        <x:v>Fault injection fixtures</x:v>
      </x:c>
      <x:c r="M51" s="19" t="str">
        <x:v>Staging environment</x:v>
      </x:c>
      <x:c r="N51" s="19" t="str">
        <x:v>Failures produce explicit status and do not bypass policy.</x:v>
      </x:c>
      <x:c r="O51" s="19" t="str">
        <x:v>reports/fault-drill.md</x:v>
      </x:c>
      <x:c r="P51" s="19" t="str">
        <x:v>Fail closed for uncertain authorization; report resulting availability cost.</x:v>
      </x:c>
      <x:c r="Q51" s="19" t="str">
        <x:v>Core</x:v>
      </x:c>
      <x:c r="R51" s="19" t="str"/>
      <x:c r="S51" s="23" t="str"/>
      <x:c r="T51" s="23" t="str"/>
      <x:c r="U51" s="19" t="n">
        <x:f>IF(LEN(S51)&gt;0,1,0)</x:f>
        <x:v>0</x:v>
      </x:c>
    </x:row>
    <x:row r="52" ht="64" customHeight="1">
      <x:c r="A52" s="20" t="str">
        <x:v>TB-041</x:v>
      </x:c>
      <x:c r="B52" s="20" t="str">
        <x:v>07 Delivery &amp; operations</x:v>
      </x:c>
      <x:c r="C52" s="20" t="str">
        <x:v>Deploy a constrained demo</x:v>
      </x:c>
      <x:c r="D52" s="23" t="str">
        <x:v>Not Started</x:v>
      </x:c>
      <x:c r="E52" s="20" t="str">
        <x:v>TB-040</x:v>
      </x:c>
      <x:c r="F52" s="20" t="str"/>
      <x:c r="G52" s="20" t="str">
        <x:f>IF(NOT(AND(IF(E52="",TRUE,COUNTIFS($A$12:$A$71,E52)=1),IF(F52="",TRUE,COUNTIFS($A$12:$A$71,F52)=1))),"Bad dependency",IF(NOT(AND(IF(E52="",TRUE,COUNTIFS($A$12:$A$71,E52,$D$12:$D$71,"Completed",$U$12:$U$71,1)=1),IF(F52="",TRUE,COUNTIFS($A$12:$A$71,F52,$D$12:$D$71,"Completed",$U$12:$U$71,1)=1))),IF(D52="Completed","Check prerequisites","Waiting"),IF(D52="Completed",IF(S52="","Evidence needed","Done"),IF(D52="Blocked","Blocked",IF(D52="In Progress","In Progress","Ready")))))</x:f>
        <x:v>Waiting</x:v>
      </x:c>
      <x:c r="H52" s="27" t="n">
        <x:v>4</x:v>
      </x:c>
      <x:c r="I52" s="23" t="str"/>
      <x:c r="J52" s="25"/>
      <x:c r="K52" s="20" t="str">
        <x:v>Deploy synthetic workflows with spend caps and read-only public results; keep action endpoints authenticated.</x:v>
      </x:c>
      <x:c r="L52" s="20" t="str">
        <x:v>Docker Compose, chosen host</x:v>
      </x:c>
      <x:c r="M52" s="20" t="str">
        <x:v>Synthetic demonstration suite</x:v>
      </x:c>
      <x:c r="N52" s="20" t="str">
        <x:v>Demo health check, authentication and budget limits are verified.</x:v>
      </x:c>
      <x:c r="O52" s="20" t="str">
        <x:v>deployment runbook</x:v>
      </x:c>
      <x:c r="P52" s="20" t="str">
        <x:v>Do not expose benchmark credentials or attack controls publicly.</x:v>
      </x:c>
      <x:c r="Q52" s="20" t="str">
        <x:v>Core</x:v>
      </x:c>
      <x:c r="R52" s="20" t="str"/>
      <x:c r="S52" s="23" t="str"/>
      <x:c r="T52" s="23" t="str"/>
      <x:c r="U52" s="19" t="n">
        <x:f>IF(LEN(S52)&gt;0,1,0)</x:f>
        <x:v>0</x:v>
      </x:c>
    </x:row>
    <x:row r="53" ht="64" customHeight="1">
      <x:c r="A53" s="19" t="str">
        <x:v>TB-042</x:v>
      </x:c>
      <x:c r="B53" s="19" t="str">
        <x:v>07 Delivery &amp; operations</x:v>
      </x:c>
      <x:c r="C53" s="19" t="str">
        <x:v>Test rollback and artifact restore</x:v>
      </x:c>
      <x:c r="D53" s="23" t="str">
        <x:v>Not Started</x:v>
      </x:c>
      <x:c r="E53" s="19" t="str">
        <x:v>TB-041</x:v>
      </x:c>
      <x:c r="F53" s="19" t="str"/>
      <x:c r="G53" s="19" t="str">
        <x:f>IF(NOT(AND(IF(E53="",TRUE,COUNTIFS($A$12:$A$71,E53)=1),IF(F53="",TRUE,COUNTIFS($A$12:$A$71,F53)=1))),"Bad dependency",IF(NOT(AND(IF(E53="",TRUE,COUNTIFS($A$12:$A$71,E53,$D$12:$D$71,"Completed",$U$12:$U$71,1)=1),IF(F53="",TRUE,COUNTIFS($A$12:$A$71,F53,$D$12:$D$71,"Completed",$U$12:$U$71,1)=1))),IF(D53="Completed","Check prerequisites","Waiting"),IF(D53="Completed",IF(S53="","Evidence needed","Done"),IF(D53="Blocked","Blocked",IF(D53="In Progress","In Progress","Ready")))))</x:f>
        <x:v>Waiting</x:v>
      </x:c>
      <x:c r="H53" s="27" t="n">
        <x:v>3</x:v>
      </x:c>
      <x:c r="I53" s="23" t="str"/>
      <x:c r="J53" s="25"/>
      <x:c r="K53" s="19" t="str">
        <x:v>Restore previous policy/config version and run-store backup; rerun representative fixtures.</x:v>
      </x:c>
      <x:c r="L53" s="19" t="str">
        <x:v>Versioned configs, backup script</x:v>
      </x:c>
      <x:c r="M53" s="19" t="str">
        <x:v>Previous release and synthetic backup</x:v>
      </x:c>
      <x:c r="N53" s="19" t="str">
        <x:v>Rollback restores expected behavior and audit trail.</x:v>
      </x:c>
      <x:c r="O53" s="19" t="str">
        <x:v>reports/rollback-drill.md</x:v>
      </x:c>
      <x:c r="P53" s="19" t="str">
        <x:v>Record recovery time as measured, not promised.</x:v>
      </x:c>
      <x:c r="Q53" s="19" t="str">
        <x:v>Core</x:v>
      </x:c>
      <x:c r="R53" s="19" t="str"/>
      <x:c r="S53" s="23" t="str"/>
      <x:c r="T53" s="23" t="str"/>
      <x:c r="U53" s="19" t="n">
        <x:f>IF(LEN(S53)&gt;0,1,0)</x:f>
        <x:v>0</x:v>
      </x:c>
    </x:row>
    <x:row r="54" ht="64" customHeight="1">
      <x:c r="A54" s="21" t="str">
        <x:v>TB-043</x:v>
      </x:c>
      <x:c r="B54" s="21" t="str">
        <x:v>08 Research evidence</x:v>
      </x:c>
      <x:c r="C54" s="21" t="str">
        <x:v>Write related-work comparison matrix</x:v>
      </x:c>
      <x:c r="D54" s="22" t="str">
        <x:v>Not Started</x:v>
      </x:c>
      <x:c r="E54" s="21" t="str">
        <x:v>TB-036</x:v>
      </x:c>
      <x:c r="F54" s="21" t="str"/>
      <x:c r="G54" s="21" t="str">
        <x:f>IF(NOT(AND(IF(E54="",TRUE,COUNTIFS($A$12:$A$71,E54)=1),IF(F54="",TRUE,COUNTIFS($A$12:$A$71,F54)=1))),"Bad dependency",IF(NOT(AND(IF(E54="",TRUE,COUNTIFS($A$12:$A$71,E54,$D$12:$D$71,"Completed",$U$12:$U$71,1)=1),IF(F54="",TRUE,COUNTIFS($A$12:$A$71,F54,$D$12:$D$71,"Completed",$U$12:$U$71,1)=1))),IF(D54="Completed","Check prerequisites","Waiting"),IF(D54="Completed",IF(S54="","Evidence needed","Done"),IF(D54="Blocked","Blocked",IF(D54="In Progress","In Progress","Ready")))))</x:f>
        <x:v>Waiting</x:v>
      </x:c>
      <x:c r="H54" s="26" t="n">
        <x:v>4</x:v>
      </x:c>
      <x:c r="I54" s="22" t="str"/>
      <x:c r="J54" s="24"/>
      <x:c r="K54" s="21" t="str">
        <x:v>Compare threat models, enforcement boundaries, evaluation suites and claimed guarantees to prior systems.</x:v>
      </x:c>
      <x:c r="L54" s="21" t="str">
        <x:v>Literature spreadsheet</x:v>
      </x:c>
      <x:c r="M54" s="21" t="str">
        <x:v>AgentDojo, CaMeL, relevant new papers</x:v>
      </x:c>
      <x:c r="N54" s="21" t="str">
        <x:v>Every comparison has a source and a specific limitation.</x:v>
      </x:c>
      <x:c r="O54" s="21" t="str">
        <x:v>research/related-work.csv</x:v>
      </x:c>
      <x:c r="P54" s="21" t="str">
        <x:v>Refresh search before claiming a contribution.</x:v>
      </x:c>
      <x:c r="Q54" s="21" t="str">
        <x:v>Core</x:v>
      </x:c>
      <x:c r="R54" s="21" t="str">
        <x:v>TB-S1, TB-S2</x:v>
      </x:c>
      <x:c r="S54" s="22" t="str"/>
      <x:c r="T54" s="22" t="str"/>
      <x:c r="U54" s="19" t="n">
        <x:f>IF(LEN(S54)&gt;0,1,0)</x:f>
        <x:v>0</x:v>
      </x:c>
    </x:row>
    <x:row r="55" ht="64" customHeight="1">
      <x:c r="A55" s="19" t="str">
        <x:v>TB-044</x:v>
      </x:c>
      <x:c r="B55" s="19" t="str">
        <x:v>08 Research evidence</x:v>
      </x:c>
      <x:c r="C55" s="19" t="str">
        <x:v>Test research hypothesis explicitly</x:v>
      </x:c>
      <x:c r="D55" s="23" t="str">
        <x:v>Not Started</x:v>
      </x:c>
      <x:c r="E55" s="19" t="str">
        <x:v>TB-043</x:v>
      </x:c>
      <x:c r="F55" s="19" t="str"/>
      <x:c r="G55" s="19" t="str">
        <x:f>IF(NOT(AND(IF(E55="",TRUE,COUNTIFS($A$12:$A$71,E55)=1),IF(F55="",TRUE,COUNTIFS($A$12:$A$71,F55)=1))),"Bad dependency",IF(NOT(AND(IF(E55="",TRUE,COUNTIFS($A$12:$A$71,E55,$D$12:$D$71,"Completed",$U$12:$U$71,1)=1),IF(F55="",TRUE,COUNTIFS($A$12:$A$71,F55,$D$12:$D$71,"Completed",$U$12:$U$71,1)=1))),IF(D55="Completed","Check prerequisites","Waiting"),IF(D55="Completed",IF(S55="","Evidence needed","Done"),IF(D55="Blocked","Blocked",IF(D55="In Progress","In Progress","Ready")))))</x:f>
        <x:v>Waiting</x:v>
      </x:c>
      <x:c r="H55" s="27" t="n">
        <x:v>5</x:v>
      </x:c>
      <x:c r="I55" s="23" t="str"/>
      <x:c r="J55" s="25"/>
      <x:c r="K55" s="19" t="str">
        <x:v>Assess whether provenance-aware enforcement improves attack resistance at comparable benign utility and cost.</x:v>
      </x:c>
      <x:c r="L55" s="19" t="str">
        <x:v>Paired analysis</x:v>
      </x:c>
      <x:c r="M55" s="19" t="str">
        <x:v>Holdout and ablation outputs</x:v>
      </x:c>
      <x:c r="N55" s="19" t="str">
        <x:v>Conclusion states effect sizes, uncertainty and failure slices.</x:v>
      </x:c>
      <x:c r="O55" s="19" t="str">
        <x:v>research/findings.md</x:v>
      </x:c>
      <x:c r="P55" s="19" t="str">
        <x:v>Combining existing components is not by itself novel.</x:v>
      </x:c>
      <x:c r="Q55" s="19" t="str">
        <x:v>Core</x:v>
      </x:c>
      <x:c r="R55" s="19" t="str"/>
      <x:c r="S55" s="23" t="str"/>
      <x:c r="T55" s="23" t="str"/>
      <x:c r="U55" s="19" t="n">
        <x:f>IF(LEN(S55)&gt;0,1,0)</x:f>
        <x:v>0</x:v>
      </x:c>
    </x:row>
    <x:row r="56" ht="64" customHeight="1">
      <x:c r="A56" s="20" t="str">
        <x:v>TB-045</x:v>
      </x:c>
      <x:c r="B56" s="20" t="str">
        <x:v>08 Research evidence</x:v>
      </x:c>
      <x:c r="C56" s="20" t="str">
        <x:v>Audit labels and evaluator quality</x:v>
      </x:c>
      <x:c r="D56" s="23" t="str">
        <x:v>Not Started</x:v>
      </x:c>
      <x:c r="E56" s="20" t="str">
        <x:v>TB-044</x:v>
      </x:c>
      <x:c r="F56" s="20" t="str"/>
      <x:c r="G56" s="20" t="str">
        <x:f>IF(NOT(AND(IF(E56="",TRUE,COUNTIFS($A$12:$A$71,E56)=1),IF(F56="",TRUE,COUNTIFS($A$12:$A$71,F56)=1))),"Bad dependency",IF(NOT(AND(IF(E56="",TRUE,COUNTIFS($A$12:$A$71,E56,$D$12:$D$71,"Completed",$U$12:$U$71,1)=1),IF(F56="",TRUE,COUNTIFS($A$12:$A$71,F56,$D$12:$D$71,"Completed",$U$12:$U$71,1)=1))),IF(D56="Completed","Check prerequisites","Waiting"),IF(D56="Completed",IF(S56="","Evidence needed","Done"),IF(D56="Blocked","Blocked",IF(D56="In Progress","In Progress","Ready")))))</x:f>
        <x:v>Waiting</x:v>
      </x:c>
      <x:c r="H56" s="27" t="n">
        <x:v>4</x:v>
      </x:c>
      <x:c r="I56" s="23" t="str"/>
      <x:c r="J56" s="25"/>
      <x:c r="K56" s="20" t="str">
        <x:v>Double-review a stratified sample of successes and failures. Adjudicate disagreements and record evaluator changes.</x:v>
      </x:c>
      <x:c r="L56" s="20" t="str">
        <x:v>Annotation sheet</x:v>
      </x:c>
      <x:c r="M56" s="20" t="str">
        <x:v>Raw traces and expected state</x:v>
      </x:c>
      <x:c r="N56" s="20" t="str">
        <x:v>Report sample method, agreement and adjudication outcomes.</x:v>
      </x:c>
      <x:c r="O56" s="20" t="str">
        <x:v>research/label-audit.csv</x:v>
      </x:c>
      <x:c r="P56" s="20" t="str">
        <x:v>If labels change, rerun affected metrics without cherry-picking.</x:v>
      </x:c>
      <x:c r="Q56" s="20" t="str">
        <x:v>Core</x:v>
      </x:c>
      <x:c r="R56" s="20" t="str"/>
      <x:c r="S56" s="23" t="str"/>
      <x:c r="T56" s="23" t="str"/>
      <x:c r="U56" s="19" t="n">
        <x:f>IF(LEN(S56)&gt;0,1,0)</x:f>
        <x:v>0</x:v>
      </x:c>
    </x:row>
    <x:row r="57" ht="64" customHeight="1">
      <x:c r="A57" s="19" t="str">
        <x:v>TB-046</x:v>
      </x:c>
      <x:c r="B57" s="19" t="str">
        <x:v>08 Research evidence</x:v>
      </x:c>
      <x:c r="C57" s="19" t="str">
        <x:v>Package reproducibility artifacts</x:v>
      </x:c>
      <x:c r="D57" s="23" t="str">
        <x:v>Not Started</x:v>
      </x:c>
      <x:c r="E57" s="19" t="str">
        <x:v>TB-045</x:v>
      </x:c>
      <x:c r="F57" s="19" t="str"/>
      <x:c r="G57" s="19" t="str">
        <x:f>IF(NOT(AND(IF(E57="",TRUE,COUNTIFS($A$12:$A$71,E57)=1),IF(F57="",TRUE,COUNTIFS($A$12:$A$71,F57)=1))),"Bad dependency",IF(NOT(AND(IF(E57="",TRUE,COUNTIFS($A$12:$A$71,E57,$D$12:$D$71,"Completed",$U$12:$U$71,1)=1),IF(F57="",TRUE,COUNTIFS($A$12:$A$71,F57,$D$12:$D$71,"Completed",$U$12:$U$71,1)=1))),IF(D57="Completed","Check prerequisites","Waiting"),IF(D57="Completed",IF(S57="","Evidence needed","Done"),IF(D57="Blocked","Blocked",IF(D57="In Progress","In Progress","Ready")))))</x:f>
        <x:v>Waiting</x:v>
      </x:c>
      <x:c r="H57" s="27" t="n">
        <x:v>4</x:v>
      </x:c>
      <x:c r="I57" s="23" t="str"/>
      <x:c r="J57" s="25"/>
      <x:c r="K57" s="19" t="str">
        <x:v>Publish allowed fixture IDs, seeds, configs, hashes and analysis scripts. Exclude secrets and restricted data.</x:v>
      </x:c>
      <x:c r="L57" s="19" t="str">
        <x:v>Git release, data manifest</x:v>
      </x:c>
      <x:c r="M57" s="19" t="str">
        <x:v>Final experiment artifacts</x:v>
      </x:c>
      <x:c r="N57" s="19" t="str">
        <x:v>Another user can reproduce an offline subset from documented steps.</x:v>
      </x:c>
      <x:c r="O57" s="19" t="str">
        <x:v>repro/</x:v>
      </x:c>
      <x:c r="P57" s="19" t="str">
        <x:v>Provider behavior may prevent exact replay of historical runs.</x:v>
      </x:c>
      <x:c r="Q57" s="19" t="str">
        <x:v>Core</x:v>
      </x:c>
      <x:c r="R57" s="19" t="str"/>
      <x:c r="S57" s="23" t="str"/>
      <x:c r="T57" s="23" t="str"/>
      <x:c r="U57" s="19" t="n">
        <x:f>IF(LEN(S57)&gt;0,1,0)</x:f>
        <x:v>0</x:v>
      </x:c>
    </x:row>
    <x:row r="58" ht="64" customHeight="1">
      <x:c r="A58" s="20" t="str">
        <x:v>TB-047</x:v>
      </x:c>
      <x:c r="B58" s="20" t="str">
        <x:v>08 Research evidence</x:v>
      </x:c>
      <x:c r="C58" s="20" t="str">
        <x:v>Draft technical report</x:v>
      </x:c>
      <x:c r="D58" s="23" t="str">
        <x:v>Not Started</x:v>
      </x:c>
      <x:c r="E58" s="20" t="str">
        <x:v>TB-046</x:v>
      </x:c>
      <x:c r="F58" s="20" t="str"/>
      <x:c r="G58" s="20" t="str">
        <x:f>IF(NOT(AND(IF(E58="",TRUE,COUNTIFS($A$12:$A$71,E58)=1),IF(F58="",TRUE,COUNTIFS($A$12:$A$71,F58)=1))),"Bad dependency",IF(NOT(AND(IF(E58="",TRUE,COUNTIFS($A$12:$A$71,E58,$D$12:$D$71,"Completed",$U$12:$U$71,1)=1),IF(F58="",TRUE,COUNTIFS($A$12:$A$71,F58,$D$12:$D$71,"Completed",$U$12:$U$71,1)=1))),IF(D58="Completed","Check prerequisites","Waiting"),IF(D58="Completed",IF(S58="","Evidence needed","Done"),IF(D58="Blocked","Blocked",IF(D58="In Progress","In Progress","Ready")))))</x:f>
        <x:v>Waiting</x:v>
      </x:c>
      <x:c r="H58" s="27" t="n">
        <x:v>5</x:v>
      </x:c>
      <x:c r="I58" s="23" t="str"/>
      <x:c r="J58" s="25"/>
      <x:c r="K58" s="20" t="str">
        <x:v>Write problem, method, threat model, experimental design, results, failure cases and limits with evidence links.</x:v>
      </x:c>
      <x:c r="L58" s="20" t="str">
        <x:v>Markdown or LaTeX</x:v>
      </x:c>
      <x:c r="M58" s="20" t="str">
        <x:v>Verified experiment tables</x:v>
      </x:c>
      <x:c r="N58" s="20" t="str">
        <x:v>All numeric claims map to stored run artifacts.</x:v>
      </x:c>
      <x:c r="O58" s="20" t="str">
        <x:v>research/report.pdf or report.md</x:v>
      </x:c>
      <x:c r="P58" s="20" t="str">
        <x:v>Do not imply publication acceptance or patentability.</x:v>
      </x:c>
      <x:c r="Q58" s="20" t="str">
        <x:v>Core</x:v>
      </x:c>
      <x:c r="R58" s="20" t="str"/>
      <x:c r="S58" s="23" t="str"/>
      <x:c r="T58" s="23" t="str"/>
      <x:c r="U58" s="19" t="n">
        <x:f>IF(LEN(S58)&gt;0,1,0)</x:f>
        <x:v>0</x:v>
      </x:c>
    </x:row>
    <x:row r="59" ht="64" customHeight="1">
      <x:c r="A59" s="19" t="str">
        <x:v>TB-048</x:v>
      </x:c>
      <x:c r="B59" s="19" t="str">
        <x:v>08 Research evidence</x:v>
      </x:c>
      <x:c r="C59" s="19" t="str">
        <x:v>Review contribution and claim boundaries</x:v>
      </x:c>
      <x:c r="D59" s="23" t="str">
        <x:v>Not Started</x:v>
      </x:c>
      <x:c r="E59" s="19" t="str">
        <x:v>TB-047</x:v>
      </x:c>
      <x:c r="F59" s="19" t="str"/>
      <x:c r="G59" s="19" t="str">
        <x:f>IF(NOT(AND(IF(E59="",TRUE,COUNTIFS($A$12:$A$71,E59)=1),IF(F59="",TRUE,COUNTIFS($A$12:$A$71,F59)=1))),"Bad dependency",IF(NOT(AND(IF(E59="",TRUE,COUNTIFS($A$12:$A$71,E59,$D$12:$D$71,"Completed",$U$12:$U$71,1)=1),IF(F59="",TRUE,COUNTIFS($A$12:$A$71,F59,$D$12:$D$71,"Completed",$U$12:$U$71,1)=1))),IF(D59="Completed","Check prerequisites","Waiting"),IF(D59="Completed",IF(S59="","Evidence needed","Done"),IF(D59="Blocked","Blocked",IF(D59="In Progress","In Progress","Ready")))))</x:f>
        <x:v>Waiting</x:v>
      </x:c>
      <x:c r="H59" s="27" t="n">
        <x:v>3</x:v>
      </x:c>
      <x:c r="I59" s="23" t="str"/>
      <x:c r="J59" s="25"/>
      <x:c r="K59" s="19" t="str">
        <x:v>Separate replicated components, engineering contributions and hypotheses needing more evidence.</x:v>
      </x:c>
      <x:c r="L59" s="19" t="str">
        <x:v>Claim checklist</x:v>
      </x:c>
      <x:c r="M59" s="19" t="str">
        <x:v>Report and prior-work matrix</x:v>
      </x:c>
      <x:c r="N59" s="19" t="str">
        <x:v>No novelty, security guarantee or resume metric exceeds evidence.</x:v>
      </x:c>
      <x:c r="O59" s="19" t="str">
        <x:v>research/claims.md</x:v>
      </x:c>
      <x:c r="P59" s="19" t="str">
        <x:v>Seek specialist review before any patent or publication claim.</x:v>
      </x:c>
      <x:c r="Q59" s="19" t="str">
        <x:v>Core</x:v>
      </x:c>
      <x:c r="R59" s="19" t="str"/>
      <x:c r="S59" s="23" t="str"/>
      <x:c r="T59" s="23" t="str"/>
      <x:c r="U59" s="19" t="n">
        <x:f>IF(LEN(S59)&gt;0,1,0)</x:f>
        <x:v>0</x:v>
      </x:c>
    </x:row>
    <x:row r="60" ht="64" customHeight="1">
      <x:c r="A60" s="21" t="str">
        <x:v>TB-049</x:v>
      </x:c>
      <x:c r="B60" s="21" t="str">
        <x:v>09 Portfolio release</x:v>
      </x:c>
      <x:c r="C60" s="21" t="str">
        <x:v>Create architecture and walkthrough</x:v>
      </x:c>
      <x:c r="D60" s="22" t="str">
        <x:v>Not Started</x:v>
      </x:c>
      <x:c r="E60" s="21" t="str">
        <x:v>TB-042</x:v>
      </x:c>
      <x:c r="F60" s="21" t="str">
        <x:v>TB-048</x:v>
      </x:c>
      <x:c r="G60" s="21" t="str">
        <x:f>IF(NOT(AND(IF(E60="",TRUE,COUNTIFS($A$12:$A$71,E60)=1),IF(F60="",TRUE,COUNTIFS($A$12:$A$71,F60)=1))),"Bad dependency",IF(NOT(AND(IF(E60="",TRUE,COUNTIFS($A$12:$A$71,E60,$D$12:$D$71,"Completed",$U$12:$U$71,1)=1),IF(F60="",TRUE,COUNTIFS($A$12:$A$71,F60,$D$12:$D$71,"Completed",$U$12:$U$71,1)=1))),IF(D60="Completed","Check prerequisites","Waiting"),IF(D60="Completed",IF(S60="","Evidence needed","Done"),IF(D60="Blocked","Blocked",IF(D60="In Progress","In Progress","Ready")))))</x:f>
        <x:v>Waiting</x:v>
      </x:c>
      <x:c r="H60" s="26" t="n">
        <x:v>3</x:v>
      </x:c>
      <x:c r="I60" s="22" t="str"/>
      <x:c r="J60" s="24"/>
      <x:c r="K60" s="21" t="str">
        <x:v>Diagram trust boundaries and record a benign run, blocked attack, failure trace and release-gate example.</x:v>
      </x:c>
      <x:c r="L60" s="21" t="str">
        <x:v>Mermaid, screen recording</x:v>
      </x:c>
      <x:c r="M60" s="21" t="str">
        <x:v>Synthetic demo</x:v>
      </x:c>
      <x:c r="N60" s="21" t="str">
        <x:v>Walkthrough explains each result and its underlying evidence.</x:v>
      </x:c>
      <x:c r="O60" s="21" t="str">
        <x:v>docs/architecture.md and demo video</x:v>
      </x:c>
      <x:c r="P60" s="21" t="str">
        <x:v>Do not stage fake measured outcomes.</x:v>
      </x:c>
      <x:c r="Q60" s="21" t="str">
        <x:v>Core</x:v>
      </x:c>
      <x:c r="R60" s="21" t="str"/>
      <x:c r="S60" s="22" t="str"/>
      <x:c r="T60" s="22" t="str"/>
      <x:c r="U60" s="19" t="n">
        <x:f>IF(LEN(S60)&gt;0,1,0)</x:f>
        <x:v>0</x:v>
      </x:c>
    </x:row>
    <x:row r="61" ht="64" customHeight="1">
      <x:c r="A61" s="19" t="str">
        <x:v>TB-050</x:v>
      </x:c>
      <x:c r="B61" s="19" t="str">
        <x:v>09 Portfolio release</x:v>
      </x:c>
      <x:c r="C61" s="19" t="str">
        <x:v>Document setup and troubleshooting</x:v>
      </x:c>
      <x:c r="D61" s="23" t="str">
        <x:v>Not Started</x:v>
      </x:c>
      <x:c r="E61" s="19" t="str">
        <x:v>TB-049</x:v>
      </x:c>
      <x:c r="F61" s="19" t="str"/>
      <x:c r="G61" s="19" t="str">
        <x:f>IF(NOT(AND(IF(E61="",TRUE,COUNTIFS($A$12:$A$71,E61)=1),IF(F61="",TRUE,COUNTIFS($A$12:$A$71,F61)=1))),"Bad dependency",IF(NOT(AND(IF(E61="",TRUE,COUNTIFS($A$12:$A$71,E61,$D$12:$D$71,"Completed",$U$12:$U$71,1)=1),IF(F61="",TRUE,COUNTIFS($A$12:$A$71,F61,$D$12:$D$71,"Completed",$U$12:$U$71,1)=1))),IF(D61="Completed","Check prerequisites","Waiting"),IF(D61="Completed",IF(S61="","Evidence needed","Done"),IF(D61="Blocked","Blocked",IF(D61="In Progress","In Progress","Ready")))))</x:f>
        <x:v>Waiting</x:v>
      </x:c>
      <x:c r="H61" s="27" t="n">
        <x:v>3</x:v>
      </x:c>
      <x:c r="I61" s="23" t="str"/>
      <x:c r="J61" s="25"/>
      <x:c r="K61" s="19" t="str">
        <x:v>Provide install, API key setup, budget controls, expected smoke outputs and failure recovery instructions.</x:v>
      </x:c>
      <x:c r="L61" s="19" t="str">
        <x:v>README</x:v>
      </x:c>
      <x:c r="M61" s="19" t="str">
        <x:v>Clean-environment installation</x:v>
      </x:c>
      <x:c r="N61" s="19" t="str">
        <x:v>A fresh user can follow the instructions without hidden local files.</x:v>
      </x:c>
      <x:c r="O61" s="19" t="str">
        <x:v>README.md</x:v>
      </x:c>
      <x:c r="P61" s="19" t="str">
        <x:v>Document minimum tested environment only.</x:v>
      </x:c>
      <x:c r="Q61" s="19" t="str">
        <x:v>Core</x:v>
      </x:c>
      <x:c r="R61" s="19" t="str"/>
      <x:c r="S61" s="23" t="str"/>
      <x:c r="T61" s="23" t="str"/>
      <x:c r="U61" s="19" t="n">
        <x:f>IF(LEN(S61)&gt;0,1,0)</x:f>
        <x:v>0</x:v>
      </x:c>
    </x:row>
    <x:row r="62" ht="64" customHeight="1">
      <x:c r="A62" s="20" t="str">
        <x:v>TB-051</x:v>
      </x:c>
      <x:c r="B62" s="20" t="str">
        <x:v>09 Portfolio release</x:v>
      </x:c>
      <x:c r="C62" s="20" t="str">
        <x:v>Run final clean-checkout verification</x:v>
      </x:c>
      <x:c r="D62" s="23" t="str">
        <x:v>Not Started</x:v>
      </x:c>
      <x:c r="E62" s="20" t="str">
        <x:v>TB-050</x:v>
      </x:c>
      <x:c r="F62" s="20" t="str"/>
      <x:c r="G62" s="20" t="str">
        <x:f>IF(NOT(AND(IF(E62="",TRUE,COUNTIFS($A$12:$A$71,E62)=1),IF(F62="",TRUE,COUNTIFS($A$12:$A$71,F62)=1))),"Bad dependency",IF(NOT(AND(IF(E62="",TRUE,COUNTIFS($A$12:$A$71,E62,$D$12:$D$71,"Completed",$U$12:$U$71,1)=1),IF(F62="",TRUE,COUNTIFS($A$12:$A$71,F62,$D$12:$D$71,"Completed",$U$12:$U$71,1)=1))),IF(D62="Completed","Check prerequisites","Waiting"),IF(D62="Completed",IF(S62="","Evidence needed","Done"),IF(D62="Blocked","Blocked",IF(D62="In Progress","In Progress","Ready")))))</x:f>
        <x:v>Waiting</x:v>
      </x:c>
      <x:c r="H62" s="27" t="n">
        <x:v>4</x:v>
      </x:c>
      <x:c r="I62" s="23" t="str"/>
      <x:c r="J62" s="25"/>
      <x:c r="K62" s="20" t="str">
        <x:v>Install locked dependencies, run fixtures and regression checks, rebuild demo and verify linked reports.</x:v>
      </x:c>
      <x:c r="L62" s="20" t="str">
        <x:v>CI, Docker</x:v>
      </x:c>
      <x:c r="M62" s="20" t="str">
        <x:v>Release candidate</x:v>
      </x:c>
      <x:c r="N62" s="20" t="str">
        <x:v>All required checks pass or release is blocked with a written reason.</x:v>
      </x:c>
      <x:c r="O62" s="20" t="str">
        <x:v>release/checks.json</x:v>
      </x:c>
      <x:c r="P62" s="20" t="str">
        <x:v>Do not equate a passing smoke suite with full benchmark replication.</x:v>
      </x:c>
      <x:c r="Q62" s="20" t="str">
        <x:v>Core</x:v>
      </x:c>
      <x:c r="R62" s="20" t="str"/>
      <x:c r="S62" s="23" t="str"/>
      <x:c r="T62" s="23" t="str"/>
      <x:c r="U62" s="19" t="n">
        <x:f>IF(LEN(S62)&gt;0,1,0)</x:f>
        <x:v>0</x:v>
      </x:c>
    </x:row>
    <x:row r="63" ht="64" customHeight="1">
      <x:c r="A63" s="19" t="str">
        <x:v>TB-052</x:v>
      </x:c>
      <x:c r="B63" s="19" t="str">
        <x:v>09 Portfolio release</x:v>
      </x:c>
      <x:c r="C63" s="19" t="str">
        <x:v>Prepare measured resume bullets</x:v>
      </x:c>
      <x:c r="D63" s="23" t="str">
        <x:v>Not Started</x:v>
      </x:c>
      <x:c r="E63" s="19" t="str">
        <x:v>TB-051</x:v>
      </x:c>
      <x:c r="F63" s="19" t="str"/>
      <x:c r="G63" s="19" t="str">
        <x:f>IF(NOT(AND(IF(E63="",TRUE,COUNTIFS($A$12:$A$71,E63)=1),IF(F63="",TRUE,COUNTIFS($A$12:$A$71,F63)=1))),"Bad dependency",IF(NOT(AND(IF(E63="",TRUE,COUNTIFS($A$12:$A$71,E63,$D$12:$D$71,"Completed",$U$12:$U$71,1)=1),IF(F63="",TRUE,COUNTIFS($A$12:$A$71,F63,$D$12:$D$71,"Completed",$U$12:$U$71,1)=1))),IF(D63="Completed","Check prerequisites","Waiting"),IF(D63="Completed",IF(S63="","Evidence needed","Done"),IF(D63="Blocked","Blocked",IF(D63="In Progress","In Progress","Ready")))))</x:f>
        <x:v>Waiting</x:v>
      </x:c>
      <x:c r="H63" s="27" t="n">
        <x:v>2</x:v>
      </x:c>
      <x:c r="I63" s="23" t="str"/>
      <x:c r="J63" s="25"/>
      <x:c r="K63" s="19" t="str">
        <x:v>Write problem/action/result bullets using only completed evaluations, sample sizes and reproducible evidence.</x:v>
      </x:c>
      <x:c r="L63" s="19" t="str">
        <x:v>Claim-to-evidence table</x:v>
      </x:c>
      <x:c r="M63" s="19" t="str">
        <x:v>Final report</x:v>
      </x:c>
      <x:c r="N63" s="19" t="str">
        <x:v>Every number has a run/report reference; unknowns are omitted.</x:v>
      </x:c>
      <x:c r="O63" s="19" t="str">
        <x:v>portfolio/bullets.md</x:v>
      </x:c>
      <x:c r="P63" s="19" t="str">
        <x:v>No top-1-percent or guaranteed-hiring claims.</x:v>
      </x:c>
      <x:c r="Q63" s="19" t="str">
        <x:v>Core</x:v>
      </x:c>
      <x:c r="R63" s="19" t="str"/>
      <x:c r="S63" s="23" t="str"/>
      <x:c r="T63" s="23" t="str"/>
      <x:c r="U63" s="19" t="n">
        <x:f>IF(LEN(S63)&gt;0,1,0)</x:f>
        <x:v>0</x:v>
      </x:c>
    </x:row>
    <x:row r="64" ht="64" customHeight="1">
      <x:c r="A64" s="20" t="str">
        <x:v>TB-053</x:v>
      </x:c>
      <x:c r="B64" s="20" t="str">
        <x:v>09 Portfolio release</x:v>
      </x:c>
      <x:c r="C64" s="20" t="str">
        <x:v>Publish versioned release package</x:v>
      </x:c>
      <x:c r="D64" s="23" t="str">
        <x:v>Not Started</x:v>
      </x:c>
      <x:c r="E64" s="20" t="str">
        <x:v>TB-052</x:v>
      </x:c>
      <x:c r="F64" s="20" t="str"/>
      <x:c r="G64" s="20" t="str">
        <x:f>IF(NOT(AND(IF(E64="",TRUE,COUNTIFS($A$12:$A$71,E64)=1),IF(F64="",TRUE,COUNTIFS($A$12:$A$71,F64)=1))),"Bad dependency",IF(NOT(AND(IF(E64="",TRUE,COUNTIFS($A$12:$A$71,E64,$D$12:$D$71,"Completed",$U$12:$U$71,1)=1),IF(F64="",TRUE,COUNTIFS($A$12:$A$71,F64,$D$12:$D$71,"Completed",$U$12:$U$71,1)=1))),IF(D64="Completed","Check prerequisites","Waiting"),IF(D64="Completed",IF(S64="","Evidence needed","Done"),IF(D64="Blocked","Blocked",IF(D64="In Progress","In Progress","Ready")))))</x:f>
        <x:v>Waiting</x:v>
      </x:c>
      <x:c r="H64" s="27" t="n">
        <x:v>2</x:v>
      </x:c>
      <x:c r="I64" s="23" t="str"/>
      <x:c r="J64" s="25"/>
      <x:c r="K64" s="20" t="str">
        <x:v>Tag code, attach report, license notices and reproduction manifest; verify download links.</x:v>
      </x:c>
      <x:c r="L64" s="20" t="str">
        <x:v>Git releases</x:v>
      </x:c>
      <x:c r="M64" s="20" t="str">
        <x:v>Release candidate and allowed assets</x:v>
      </x:c>
      <x:c r="N64" s="20" t="str">
        <x:v>Published package contains no keys and has a working quickstart.</x:v>
      </x:c>
      <x:c r="O64" s="20" t="str">
        <x:v>Release URL</x:v>
      </x:c>
      <x:c r="P64" s="20" t="str">
        <x:v>Check benchmark redistribution terms before uploading fixtures.</x:v>
      </x:c>
      <x:c r="Q64" s="20" t="str">
        <x:v>Core</x:v>
      </x:c>
      <x:c r="R64" s="20" t="str"/>
      <x:c r="S64" s="23" t="str"/>
      <x:c r="T64" s="23" t="str"/>
      <x:c r="U64" s="19" t="n">
        <x:f>IF(LEN(S64)&gt;0,1,0)</x:f>
        <x:v>0</x:v>
      </x:c>
    </x:row>
    <x:row r="65" ht="64" customHeight="1">
      <x:c r="A65" s="19" t="str">
        <x:v>TB-054</x:v>
      </x:c>
      <x:c r="B65" s="19" t="str">
        <x:v>09 Portfolio release</x:v>
      </x:c>
      <x:c r="C65" s="19" t="str">
        <x:v>Complete handover and backlog</x:v>
      </x:c>
      <x:c r="D65" s="23" t="str">
        <x:v>Not Started</x:v>
      </x:c>
      <x:c r="E65" s="19" t="str">
        <x:v>TB-053</x:v>
      </x:c>
      <x:c r="F65" s="19" t="str"/>
      <x:c r="G65" s="19" t="str">
        <x:f>IF(NOT(AND(IF(E65="",TRUE,COUNTIFS($A$12:$A$71,E65)=1),IF(F65="",TRUE,COUNTIFS($A$12:$A$71,F65)=1))),"Bad dependency",IF(NOT(AND(IF(E65="",TRUE,COUNTIFS($A$12:$A$71,E65,$D$12:$D$71,"Completed",$U$12:$U$71,1)=1),IF(F65="",TRUE,COUNTIFS($A$12:$A$71,F65,$D$12:$D$71,"Completed",$U$12:$U$71,1)=1))),IF(D65="Completed","Check prerequisites","Waiting"),IF(D65="Completed",IF(S65="","Evidence needed","Done"),IF(D65="Blocked","Blocked",IF(D65="In Progress","In Progress","Ready")))))</x:f>
        <x:v>Waiting</x:v>
      </x:c>
      <x:c r="H65" s="27" t="n">
        <x:v>2</x:v>
      </x:c>
      <x:c r="I65" s="23" t="str"/>
      <x:c r="J65" s="25"/>
      <x:c r="K65" s="19" t="str">
        <x:v>Record unresolved failure modes, supported versions, next experiment and maintenance triggers.</x:v>
      </x:c>
      <x:c r="L65" s="19" t="str">
        <x:v>Issue tracker</x:v>
      </x:c>
      <x:c r="M65" s="19" t="str">
        <x:v>Open risks and results</x:v>
      </x:c>
      <x:c r="N65" s="19" t="str">
        <x:v>All Core tasks have acceptance evidence or remain open.</x:v>
      </x:c>
      <x:c r="O65" s="19" t="str">
        <x:v>docs/handover.md</x:v>
      </x:c>
      <x:c r="P65" s="19" t="str">
        <x:v>Completion means an evidenced project, not universal agent security.</x:v>
      </x:c>
      <x:c r="Q65" s="19" t="str">
        <x:v>Core</x:v>
      </x:c>
      <x:c r="R65" s="19" t="str"/>
      <x:c r="S65" s="23" t="str"/>
      <x:c r="T65" s="23" t="str"/>
      <x:c r="U65" s="19" t="n">
        <x:f>IF(LEN(S65)&gt;0,1,0)</x:f>
        <x:v>0</x:v>
      </x:c>
    </x:row>
    <x:row r="66" ht="64" customHeight="1">
      <x:c r="A66" s="21" t="str">
        <x:v>TB-055</x:v>
      </x:c>
      <x:c r="B66" s="21" t="str">
        <x:v>10 Extensions</x:v>
      </x:c>
      <x:c r="C66" s="21" t="str">
        <x:v>Evaluate another model family</x:v>
      </x:c>
      <x:c r="D66" s="22" t="str">
        <x:v>Not Started</x:v>
      </x:c>
      <x:c r="E66" s="21" t="str">
        <x:v>TB-054</x:v>
      </x:c>
      <x:c r="F66" s="21" t="str"/>
      <x:c r="G66" s="21" t="str">
        <x:f>IF(NOT(AND(IF(E66="",TRUE,COUNTIFS($A$12:$A$71,E66)=1),IF(F66="",TRUE,COUNTIFS($A$12:$A$71,F66)=1))),"Bad dependency",IF(NOT(AND(IF(E66="",TRUE,COUNTIFS($A$12:$A$71,E66,$D$12:$D$71,"Completed",$U$12:$U$71,1)=1),IF(F66="",TRUE,COUNTIFS($A$12:$A$71,F66,$D$12:$D$71,"Completed",$U$12:$U$71,1)=1))),IF(D66="Completed","Check prerequisites","Waiting"),IF(D66="Completed",IF(S66="","Evidence needed","Done"),IF(D66="Blocked","Blocked",IF(D66="In Progress","In Progress","Ready")))))</x:f>
        <x:v>Waiting</x:v>
      </x:c>
      <x:c r="H66" s="26" t="n">
        <x:v>8</x:v>
      </x:c>
      <x:c r="I66" s="22" t="str"/>
      <x:c r="J66" s="24"/>
      <x:c r="K66" s="21" t="str">
        <x:v>Repeat paired evaluation with a second model under documented budgets.</x:v>
      </x:c>
      <x:c r="L66" s="21" t="str">
        <x:v>Provider adapter</x:v>
      </x:c>
      <x:c r="M66" s="21" t="str">
        <x:v>Same holdout tasks</x:v>
      </x:c>
      <x:c r="N66" s="21" t="str">
        <x:v>Model-specific results and version differences are reported.</x:v>
      </x:c>
      <x:c r="O66" s="21" t="str">
        <x:v>extensions/model-transfer/</x:v>
      </x:c>
      <x:c r="P66" s="21" t="str">
        <x:v>Additional API budget required.</x:v>
      </x:c>
      <x:c r="Q66" s="21" t="str">
        <x:v>Extension</x:v>
      </x:c>
      <x:c r="R66" s="21" t="str"/>
      <x:c r="S66" s="22" t="str"/>
      <x:c r="T66" s="22" t="str"/>
      <x:c r="U66" s="19" t="n">
        <x:f>IF(LEN(S66)&gt;0,1,0)</x:f>
        <x:v>0</x:v>
      </x:c>
    </x:row>
    <x:row r="67" ht="64" customHeight="1">
      <x:c r="A67" s="19" t="str">
        <x:v>TB-056</x:v>
      </x:c>
      <x:c r="B67" s="19" t="str">
        <x:v>10 Extensions</x:v>
      </x:c>
      <x:c r="C67" s="19" t="str">
        <x:v>Explore adaptive policy selection</x:v>
      </x:c>
      <x:c r="D67" s="23" t="str">
        <x:v>Not Started</x:v>
      </x:c>
      <x:c r="E67" s="19" t="str">
        <x:v>TB-054</x:v>
      </x:c>
      <x:c r="F67" s="19" t="str"/>
      <x:c r="G67" s="19" t="str">
        <x:f>IF(NOT(AND(IF(E67="",TRUE,COUNTIFS($A$12:$A$71,E67)=1),IF(F67="",TRUE,COUNTIFS($A$12:$A$71,F67)=1))),"Bad dependency",IF(NOT(AND(IF(E67="",TRUE,COUNTIFS($A$12:$A$71,E67,$D$12:$D$71,"Completed",$U$12:$U$71,1)=1),IF(F67="",TRUE,COUNTIFS($A$12:$A$71,F67,$D$12:$D$71,"Completed",$U$12:$U$71,1)=1))),IF(D67="Completed","Check prerequisites","Waiting"),IF(D67="Completed",IF(S67="","Evidence needed","Done"),IF(D67="Blocked","Blocked",IF(D67="In Progress","In Progress","Ready")))))</x:f>
        <x:v>Waiting</x:v>
      </x:c>
      <x:c r="H67" s="27" t="n">
        <x:v>12</x:v>
      </x:c>
      <x:c r="I67" s="23" t="str"/>
      <x:c r="J67" s="25"/>
      <x:c r="K67" s="19" t="str">
        <x:v>Learn or tune policy selection on tuning data and evaluate held-out utility/security tradeoffs.</x:v>
      </x:c>
      <x:c r="L67" s="19" t="str">
        <x:v>Policy selector</x:v>
      </x:c>
      <x:c r="M67" s="19" t="str">
        <x:v>Frozen baseline and tuning set</x:v>
      </x:c>
      <x:c r="N67" s="19" t="str">
        <x:v>Improvement is assessed against a fixed-policy comparator.</x:v>
      </x:c>
      <x:c r="O67" s="19" t="str">
        <x:v>extensions/adaptive-policy/</x:v>
      </x:c>
      <x:c r="P67" s="19" t="str">
        <x:v>Adaptation can create new attack paths.</x:v>
      </x:c>
      <x:c r="Q67" s="19" t="str">
        <x:v>Extension</x:v>
      </x:c>
      <x:c r="R67" s="19" t="str"/>
      <x:c r="S67" s="23" t="str"/>
      <x:c r="T67" s="23" t="str"/>
      <x:c r="U67" s="19" t="n">
        <x:f>IF(LEN(S67)&gt;0,1,0)</x:f>
        <x:v>0</x:v>
      </x:c>
    </x:row>
    <x:row r="68" ht="64" customHeight="1">
      <x:c r="A68" s="20" t="str">
        <x:v>TB-057</x:v>
      </x:c>
      <x:c r="B68" s="20" t="str">
        <x:v>10 Extensions</x:v>
      </x:c>
      <x:c r="C68" s="20" t="str">
        <x:v>Test cross-session memory attacks</x:v>
      </x:c>
      <x:c r="D68" s="23" t="str">
        <x:v>Not Started</x:v>
      </x:c>
      <x:c r="E68" s="20" t="str">
        <x:v>TB-054</x:v>
      </x:c>
      <x:c r="F68" s="20" t="str"/>
      <x:c r="G68" s="20" t="str">
        <x:f>IF(NOT(AND(IF(E68="",TRUE,COUNTIFS($A$12:$A$71,E68)=1),IF(F68="",TRUE,COUNTIFS($A$12:$A$71,F68)=1))),"Bad dependency",IF(NOT(AND(IF(E68="",TRUE,COUNTIFS($A$12:$A$71,E68,$D$12:$D$71,"Completed",$U$12:$U$71,1)=1),IF(F68="",TRUE,COUNTIFS($A$12:$A$71,F68,$D$12:$D$71,"Completed",$U$12:$U$71,1)=1))),IF(D68="Completed","Check prerequisites","Waiting"),IF(D68="Completed",IF(S68="","Evidence needed","Done"),IF(D68="Blocked","Blocked",IF(D68="In Progress","In Progress","Ready")))))</x:f>
        <x:v>Waiting</x:v>
      </x:c>
      <x:c r="H68" s="27" t="n">
        <x:v>8</x:v>
      </x:c>
      <x:c r="I68" s="23" t="str"/>
      <x:c r="J68" s="25"/>
      <x:c r="K68" s="20" t="str">
        <x:v>Add synthetic memory store and contamination fixtures with strict tenant boundaries.</x:v>
      </x:c>
      <x:c r="L68" s="20" t="str">
        <x:v>Sandbox memory service</x:v>
      </x:c>
      <x:c r="M68" s="20" t="str">
        <x:v>New attack-family holdout</x:v>
      </x:c>
      <x:c r="N68" s="20" t="str">
        <x:v>Report memory-specific threat model and residual failures.</x:v>
      </x:c>
      <x:c r="O68" s="20" t="str">
        <x:v>extensions/memory/</x:v>
      </x:c>
      <x:c r="P68" s="20" t="str">
        <x:v>Requires new labels and reset semantics.</x:v>
      </x:c>
      <x:c r="Q68" s="20" t="str">
        <x:v>Extension</x:v>
      </x:c>
      <x:c r="R68" s="20" t="str"/>
      <x:c r="S68" s="23" t="str"/>
      <x:c r="T68" s="23" t="str"/>
      <x:c r="U68" s="19" t="n">
        <x:f>IF(LEN(S68)&gt;0,1,0)</x:f>
        <x:v>0</x:v>
      </x:c>
    </x:row>
    <x:row r="69" ht="64" customHeight="1">
      <x:c r="A69" s="19" t="str">
        <x:v>TB-058</x:v>
      </x:c>
      <x:c r="B69" s="19" t="str">
        <x:v>10 Extensions</x:v>
      </x:c>
      <x:c r="C69" s="19" t="str">
        <x:v>Measure attribution intervention quality</x:v>
      </x:c>
      <x:c r="D69" s="23" t="str">
        <x:v>Not Started</x:v>
      </x:c>
      <x:c r="E69" s="19" t="str">
        <x:v>TB-054</x:v>
      </x:c>
      <x:c r="F69" s="19" t="str"/>
      <x:c r="G69" s="19" t="str">
        <x:f>IF(NOT(AND(IF(E69="",TRUE,COUNTIFS($A$12:$A$71,E69)=1),IF(F69="",TRUE,COUNTIFS($A$12:$A$71,F69)=1))),"Bad dependency",IF(NOT(AND(IF(E69="",TRUE,COUNTIFS($A$12:$A$71,E69,$D$12:$D$71,"Completed",$U$12:$U$71,1)=1),IF(F69="",TRUE,COUNTIFS($A$12:$A$71,F69,$D$12:$D$71,"Completed",$U$12:$U$71,1)=1))),IF(D69="Completed","Check prerequisites","Waiting"),IF(D69="Completed",IF(S69="","Evidence needed","Done"),IF(D69="Blocked","Blocked",IF(D69="In Progress","In Progress","Ready")))))</x:f>
        <x:v>Waiting</x:v>
      </x:c>
      <x:c r="H69" s="27" t="n">
        <x:v>10</x:v>
      </x:c>
      <x:c r="I69" s="23" t="str"/>
      <x:c r="J69" s="25"/>
      <x:c r="K69" s="19" t="str">
        <x:v>Remove or replace suspected faulty steps and test whether predicted fixes actually improve outcomes.</x:v>
      </x:c>
      <x:c r="L69" s="19" t="str">
        <x:v>Controlled replay</x:v>
      </x:c>
      <x:c r="M69" s="19" t="str">
        <x:v>Labeled trajectory failures</x:v>
      </x:c>
      <x:c r="N69" s="19" t="str">
        <x:v>Intervention effects support or refute attribution claims.</x:v>
      </x:c>
      <x:c r="O69" s="19" t="str">
        <x:v>extensions/causal-study/</x:v>
      </x:c>
      <x:c r="P69" s="19" t="str">
        <x:v>Counterfactual replay can alter downstream behavior.</x:v>
      </x:c>
      <x:c r="Q69" s="19" t="str">
        <x:v>Extension</x:v>
      </x:c>
      <x:c r="R69" s="19" t="str"/>
      <x:c r="S69" s="23" t="str"/>
      <x:c r="T69" s="23" t="str"/>
      <x:c r="U69" s="19" t="n">
        <x:f>IF(LEN(S69)&gt;0,1,0)</x:f>
        <x:v>0</x:v>
      </x:c>
    </x:row>
    <x:row r="70" ht="64" customHeight="1">
      <x:c r="A70" s="20" t="str">
        <x:v>TB-059</x:v>
      </x:c>
      <x:c r="B70" s="20" t="str">
        <x:v>10 Extensions</x:v>
      </x:c>
      <x:c r="C70" s="20" t="str">
        <x:v>Run external reproduction review</x:v>
      </x:c>
      <x:c r="D70" s="23" t="str">
        <x:v>Not Started</x:v>
      </x:c>
      <x:c r="E70" s="20" t="str">
        <x:v>TB-054</x:v>
      </x:c>
      <x:c r="F70" s="20" t="str"/>
      <x:c r="G70" s="20" t="str">
        <x:f>IF(NOT(AND(IF(E70="",TRUE,COUNTIFS($A$12:$A$71,E70)=1),IF(F70="",TRUE,COUNTIFS($A$12:$A$71,F70)=1))),"Bad dependency",IF(NOT(AND(IF(E70="",TRUE,COUNTIFS($A$12:$A$71,E70,$D$12:$D$71,"Completed",$U$12:$U$71,1)=1),IF(F70="",TRUE,COUNTIFS($A$12:$A$71,F70,$D$12:$D$71,"Completed",$U$12:$U$71,1)=1))),IF(D70="Completed","Check prerequisites","Waiting"),IF(D70="Completed",IF(S70="","Evidence needed","Done"),IF(D70="Blocked","Blocked",IF(D70="In Progress","In Progress","Ready")))))</x:f>
        <x:v>Waiting</x:v>
      </x:c>
      <x:c r="H70" s="27" t="n">
        <x:v>6</x:v>
      </x:c>
      <x:c r="I70" s="23" t="str"/>
      <x:c r="J70" s="25"/>
      <x:c r="K70" s="20" t="str">
        <x:v>Ask a reviewer to reproduce an allowed subset and document environment gaps.</x:v>
      </x:c>
      <x:c r="L70" s="20" t="str">
        <x:v>Release artifact</x:v>
      </x:c>
      <x:c r="M70" s="20" t="str">
        <x:v>Public quickstart</x:v>
      </x:c>
      <x:c r="N70" s="20" t="str">
        <x:v>Reviewer report includes commands, versions and discrepancies.</x:v>
      </x:c>
      <x:c r="O70" s="20" t="str">
        <x:v>extensions/reviewer-report.md</x:v>
      </x:c>
      <x:c r="P70" s="20" t="str">
        <x:v>Reviewer time is a dependency, not guaranteed.</x:v>
      </x:c>
      <x:c r="Q70" s="20" t="str">
        <x:v>Extension</x:v>
      </x:c>
      <x:c r="R70" s="20" t="str"/>
      <x:c r="S70" s="23" t="str"/>
      <x:c r="T70" s="23" t="str"/>
      <x:c r="U70" s="19" t="n">
        <x:f>IF(LEN(S70)&gt;0,1,0)</x:f>
        <x:v>0</x:v>
      </x:c>
    </x:row>
    <x:row r="71" ht="64" customHeight="1">
      <x:c r="A71" s="19" t="str">
        <x:v>TB-060</x:v>
      </x:c>
      <x:c r="B71" s="19" t="str">
        <x:v>10 Extensions</x:v>
      </x:c>
      <x:c r="C71" s="19" t="str">
        <x:v>Prepare submission candidate</x:v>
      </x:c>
      <x:c r="D71" s="23" t="str">
        <x:v>Not Started</x:v>
      </x:c>
      <x:c r="E71" s="19" t="str">
        <x:v>TB-055</x:v>
      </x:c>
      <x:c r="F71" s="19" t="str">
        <x:v>TB-059</x:v>
      </x:c>
      <x:c r="G71" s="19" t="str">
        <x:f>IF(NOT(AND(IF(E71="",TRUE,COUNTIFS($A$12:$A$71,E71)=1),IF(F71="",TRUE,COUNTIFS($A$12:$A$71,F71)=1))),"Bad dependency",IF(NOT(AND(IF(E71="",TRUE,COUNTIFS($A$12:$A$71,E71,$D$12:$D$71,"Completed",$U$12:$U$71,1)=1),IF(F71="",TRUE,COUNTIFS($A$12:$A$71,F71,$D$12:$D$71,"Completed",$U$12:$U$71,1)=1))),IF(D71="Completed","Check prerequisites","Waiting"),IF(D71="Completed",IF(S71="","Evidence needed","Done"),IF(D71="Blocked","Blocked",IF(D71="In Progress","In Progress","Ready")))))</x:f>
        <x:v>Waiting</x:v>
      </x:c>
      <x:c r="H71" s="27" t="n">
        <x:v>8</x:v>
      </x:c>
      <x:c r="I71" s="23" t="str"/>
      <x:c r="J71" s="25"/>
      <x:c r="K71" s="19" t="str">
        <x:v>Update literature, limitations and artifact checklist for a suitable venue after evidence review.</x:v>
      </x:c>
      <x:c r="L71" s="19" t="str">
        <x:v>Report tooling</x:v>
      </x:c>
      <x:c r="M71" s="19" t="str">
        <x:v>Validated extension findings</x:v>
      </x:c>
      <x:c r="N71" s="19" t="str">
        <x:v>Claims remain consistent with experiments and related work.</x:v>
      </x:c>
      <x:c r="O71" s="19" t="str">
        <x:v>extensions/submission/</x:v>
      </x:c>
      <x:c r="P71" s="19" t="str">
        <x:v>Submission is optional; acceptance and novelty are not promised.</x:v>
      </x:c>
      <x:c r="Q71" s="19" t="str">
        <x:v>Extension</x:v>
      </x:c>
      <x:c r="R71" s="19" t="str"/>
      <x:c r="S71" s="23" t="str"/>
      <x:c r="T71" s="23" t="str"/>
      <x:c r="U71" s="19" t="n">
        <x:f>IF(LEN(S71)&gt;0,1,0)</x:f>
        <x:v>0</x:v>
      </x:c>
    </x:row>
    <x:row r="72" ht="21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 ht="21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 ht="21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 ht="21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 ht="26" customHeight="1">
      <x:c r="A76" s="28" t="str">
        <x:v>Phase dashboard</x:v>
      </x:c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 ht="21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 ht="32" customHeight="1">
      <x:c r="A78" s="9" t="str">
        <x:v>Phase</x:v>
      </x:c>
      <x:c r="B78" s="9" t="str">
        <x:v>Tasks</x:v>
      </x:c>
      <x:c r="C78" s="9" t="str">
        <x:v>Completed</x:v>
      </x:c>
      <x:c r="D78" s="9" t="str">
        <x:v>Not Started</x:v>
      </x:c>
      <x:c r="E78" s="9" t="str">
        <x:v>In Progress</x:v>
      </x:c>
      <x:c r="F78" s="9" t="str">
        <x:v>Blocked</x:v>
      </x:c>
      <x:c r="G78" s="9" t="str">
        <x:v>Complete %</x:v>
      </x:c>
      <x:c r="H78" s="9" t="str">
        <x:v>Planned h</x:v>
      </x:c>
      <x:c r="I78" s="9" t="str">
        <x:v>Remaining h</x:v>
      </x:c>
      <x:c r="J78" s="9" t="str">
        <x:v>Ready</x:v>
      </x:c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 ht="38" customHeight="1">
      <x:c r="A79" s="20" t="str">
        <x:v>01 Scope &amp; setup</x:v>
      </x:c>
      <x:c r="B79" s="20" t="n">
        <x:f>COUNTIFS($B$12:$B$71,A79)</x:f>
        <x:v>6</x:v>
      </x:c>
      <x:c r="C79" s="20" t="n">
        <x:f>COUNTIFS($B$12:$B$71,A79,$D$12:$D$71,"Completed")</x:f>
        <x:v>6</x:v>
      </x:c>
      <x:c r="D79" s="20" t="n">
        <x:f>COUNTIFS($B$12:$B$71,A79,$D$12:$D$71,"Not Started")</x:f>
        <x:v>0</x:v>
      </x:c>
      <x:c r="E79" s="20" t="n">
        <x:f>COUNTIFS($B$12:$B$71,A79,$D$12:$D$71,"In Progress")</x:f>
        <x:v>0</x:v>
      </x:c>
      <x:c r="F79" s="20" t="n">
        <x:f>COUNTIFS($B$12:$B$71,A79,$D$12:$D$71,"Blocked")</x:f>
        <x:v>0</x:v>
      </x:c>
      <x:c r="G79" s="29" t="n">
        <x:f>IF(B79=0,0,C79/B79)</x:f>
        <x:v>1</x:v>
      </x:c>
      <x:c r="H79" s="20" t="n">
        <x:f>SUMIFS($H$12:$H$71,$B$12:$B$71,A79)</x:f>
        <x:v>21</x:v>
      </x:c>
      <x:c r="I79" s="20" t="n">
        <x:f>SUMIFS($H$12:$H$71,$B$12:$B$71,A79,$D$12:$D$71,"&lt;&gt;Completed")</x:f>
        <x:v>0</x:v>
      </x:c>
      <x:c r="J79" s="20" t="n">
        <x:f>COUNTIFS($B$12:$B$71,A79,$G$12:$G$71,"Ready")</x:f>
        <x:v>0</x:v>
      </x:c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 ht="38" customHeight="1">
      <x:c r="A80" s="19" t="str">
        <x:v>02 Data &amp; fixtures</x:v>
      </x:c>
      <x:c r="B80" s="19" t="n">
        <x:f>COUNTIFS($B$12:$B$71,A80)</x:f>
        <x:v>6</x:v>
      </x:c>
      <x:c r="C80" s="19" t="n">
        <x:f>COUNTIFS($B$12:$B$71,A80,$D$12:$D$71,"Completed")</x:f>
        <x:v>2</x:v>
      </x:c>
      <x:c r="D80" s="19" t="n">
        <x:f>COUNTIFS($B$12:$B$71,A80,$D$12:$D$71,"Not Started")</x:f>
        <x:v>4</x:v>
      </x:c>
      <x:c r="E80" s="19" t="n">
        <x:f>COUNTIFS($B$12:$B$71,A80,$D$12:$D$71,"In Progress")</x:f>
        <x:v>0</x:v>
      </x:c>
      <x:c r="F80" s="19" t="n">
        <x:f>COUNTIFS($B$12:$B$71,A80,$D$12:$D$71,"Blocked")</x:f>
        <x:v>0</x:v>
      </x:c>
      <x:c r="G80" s="30" t="n">
        <x:f>IF(B80=0,0,C80/B80)</x:f>
        <x:v>0.3333333333333333</x:v>
      </x:c>
      <x:c r="H80" s="19" t="n">
        <x:f>SUMIFS($H$12:$H$71,$B$12:$B$71,A80)</x:f>
        <x:v>24</x:v>
      </x:c>
      <x:c r="I80" s="19" t="n">
        <x:f>SUMIFS($H$12:$H$71,$B$12:$B$71,A80,$D$12:$D$71,"&lt;&gt;Completed")</x:f>
        <x:v>16</x:v>
      </x:c>
      <x:c r="J80" s="19" t="n">
        <x:f>COUNTIFS($B$12:$B$71,A80,$G$12:$G$71,"Ready")</x:f>
        <x:v>1</x:v>
      </x:c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 ht="38" customHeight="1">
      <x:c r="A81" s="20" t="str">
        <x:v>03 Agent baseline</x:v>
      </x:c>
      <x:c r="B81" s="20" t="n">
        <x:f>COUNTIFS($B$12:$B$71,A81)</x:f>
        <x:v>6</x:v>
      </x:c>
      <x:c r="C81" s="20" t="n">
        <x:f>COUNTIFS($B$12:$B$71,A81,$D$12:$D$71,"Completed")</x:f>
        <x:v>0</x:v>
      </x:c>
      <x:c r="D81" s="20" t="n">
        <x:f>COUNTIFS($B$12:$B$71,A81,$D$12:$D$71,"Not Started")</x:f>
        <x:v>6</x:v>
      </x:c>
      <x:c r="E81" s="20" t="n">
        <x:f>COUNTIFS($B$12:$B$71,A81,$D$12:$D$71,"In Progress")</x:f>
        <x:v>0</x:v>
      </x:c>
      <x:c r="F81" s="20" t="n">
        <x:f>COUNTIFS($B$12:$B$71,A81,$D$12:$D$71,"Blocked")</x:f>
        <x:v>0</x:v>
      </x:c>
      <x:c r="G81" s="29" t="n">
        <x:f>IF(B81=0,0,C81/B81)</x:f>
        <x:v>0</x:v>
      </x:c>
      <x:c r="H81" s="20" t="n">
        <x:f>SUMIFS($H$12:$H$71,$B$12:$B$71,A81)</x:f>
        <x:v>27</x:v>
      </x:c>
      <x:c r="I81" s="20" t="n">
        <x:f>SUMIFS($H$12:$H$71,$B$12:$B$71,A81,$D$12:$D$71,"&lt;&gt;Completed")</x:f>
        <x:v>27</x:v>
      </x:c>
      <x:c r="J81" s="20" t="n">
        <x:f>COUNTIFS($B$12:$B$71,A81,$G$12:$G$71,"Ready")</x:f>
        <x:v>0</x:v>
      </x:c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 ht="38" customHeight="1">
      <x:c r="A82" s="19" t="str">
        <x:v>04 Policy gateway</x:v>
      </x:c>
      <x:c r="B82" s="19" t="n">
        <x:f>COUNTIFS($B$12:$B$71,A82)</x:f>
        <x:v>6</x:v>
      </x:c>
      <x:c r="C82" s="19" t="n">
        <x:f>COUNTIFS($B$12:$B$71,A82,$D$12:$D$71,"Completed")</x:f>
        <x:v>0</x:v>
      </x:c>
      <x:c r="D82" s="19" t="n">
        <x:f>COUNTIFS($B$12:$B$71,A82,$D$12:$D$71,"Not Started")</x:f>
        <x:v>6</x:v>
      </x:c>
      <x:c r="E82" s="19" t="n">
        <x:f>COUNTIFS($B$12:$B$71,A82,$D$12:$D$71,"In Progress")</x:f>
        <x:v>0</x:v>
      </x:c>
      <x:c r="F82" s="19" t="n">
        <x:f>COUNTIFS($B$12:$B$71,A82,$D$12:$D$71,"Blocked")</x:f>
        <x:v>0</x:v>
      </x:c>
      <x:c r="G82" s="30" t="n">
        <x:f>IF(B82=0,0,C82/B82)</x:f>
        <x:v>0</x:v>
      </x:c>
      <x:c r="H82" s="19" t="n">
        <x:f>SUMIFS($H$12:$H$71,$B$12:$B$71,A82)</x:f>
        <x:v>33</x:v>
      </x:c>
      <x:c r="I82" s="19" t="n">
        <x:f>SUMIFS($H$12:$H$71,$B$12:$B$71,A82,$D$12:$D$71,"&lt;&gt;Completed")</x:f>
        <x:v>33</x:v>
      </x:c>
      <x:c r="J82" s="19" t="n">
        <x:f>COUNTIFS($B$12:$B$71,A82,$G$12:$G$71,"Ready")</x:f>
        <x:v>0</x:v>
      </x:c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 ht="38" customHeight="1">
      <x:c r="A83" s="20" t="str">
        <x:v>05 Reliability &amp; traces</x:v>
      </x:c>
      <x:c r="B83" s="20" t="n">
        <x:f>COUNTIFS($B$12:$B$71,A83)</x:f>
        <x:v>6</x:v>
      </x:c>
      <x:c r="C83" s="20" t="n">
        <x:f>COUNTIFS($B$12:$B$71,A83,$D$12:$D$71,"Completed")</x:f>
        <x:v>0</x:v>
      </x:c>
      <x:c r="D83" s="20" t="n">
        <x:f>COUNTIFS($B$12:$B$71,A83,$D$12:$D$71,"Not Started")</x:f>
        <x:v>6</x:v>
      </x:c>
      <x:c r="E83" s="20" t="n">
        <x:f>COUNTIFS($B$12:$B$71,A83,$D$12:$D$71,"In Progress")</x:f>
        <x:v>0</x:v>
      </x:c>
      <x:c r="F83" s="20" t="n">
        <x:f>COUNTIFS($B$12:$B$71,A83,$D$12:$D$71,"Blocked")</x:f>
        <x:v>0</x:v>
      </x:c>
      <x:c r="G83" s="29" t="n">
        <x:f>IF(B83=0,0,C83/B83)</x:f>
        <x:v>0</x:v>
      </x:c>
      <x:c r="H83" s="20" t="n">
        <x:f>SUMIFS($H$12:$H$71,$B$12:$B$71,A83)</x:f>
        <x:v>29</x:v>
      </x:c>
      <x:c r="I83" s="20" t="n">
        <x:f>SUMIFS($H$12:$H$71,$B$12:$B$71,A83,$D$12:$D$71,"&lt;&gt;Completed")</x:f>
        <x:v>29</x:v>
      </x:c>
      <x:c r="J83" s="20" t="n">
        <x:f>COUNTIFS($B$12:$B$71,A83,$G$12:$G$71,"Ready")</x:f>
        <x:v>0</x:v>
      </x:c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 ht="38" customHeight="1">
      <x:c r="A84" s="19" t="str">
        <x:v>06 Evaluation</x:v>
      </x:c>
      <x:c r="B84" s="19" t="n">
        <x:f>COUNTIFS($B$12:$B$71,A84)</x:f>
        <x:v>6</x:v>
      </x:c>
      <x:c r="C84" s="19" t="n">
        <x:f>COUNTIFS($B$12:$B$71,A84,$D$12:$D$71,"Completed")</x:f>
        <x:v>0</x:v>
      </x:c>
      <x:c r="D84" s="19" t="n">
        <x:f>COUNTIFS($B$12:$B$71,A84,$D$12:$D$71,"Not Started")</x:f>
        <x:v>6</x:v>
      </x:c>
      <x:c r="E84" s="19" t="n">
        <x:f>COUNTIFS($B$12:$B$71,A84,$D$12:$D$71,"In Progress")</x:f>
        <x:v>0</x:v>
      </x:c>
      <x:c r="F84" s="19" t="n">
        <x:f>COUNTIFS($B$12:$B$71,A84,$D$12:$D$71,"Blocked")</x:f>
        <x:v>0</x:v>
      </x:c>
      <x:c r="G84" s="30" t="n">
        <x:f>IF(B84=0,0,C84/B84)</x:f>
        <x:v>0</x:v>
      </x:c>
      <x:c r="H84" s="19" t="n">
        <x:f>SUMIFS($H$12:$H$71,$B$12:$B$71,A84)</x:f>
        <x:v>33</x:v>
      </x:c>
      <x:c r="I84" s="19" t="n">
        <x:f>SUMIFS($H$12:$H$71,$B$12:$B$71,A84,$D$12:$D$71,"&lt;&gt;Completed")</x:f>
        <x:v>33</x:v>
      </x:c>
      <x:c r="J84" s="19" t="n">
        <x:f>COUNTIFS($B$12:$B$71,A84,$G$12:$G$71,"Ready")</x:f>
        <x:v>0</x:v>
      </x:c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 ht="38" customHeight="1">
      <x:c r="A85" s="20" t="str">
        <x:v>07 Delivery &amp; operations</x:v>
      </x:c>
      <x:c r="B85" s="20" t="n">
        <x:f>COUNTIFS($B$12:$B$71,A85)</x:f>
        <x:v>6</x:v>
      </x:c>
      <x:c r="C85" s="20" t="n">
        <x:f>COUNTIFS($B$12:$B$71,A85,$D$12:$D$71,"Completed")</x:f>
        <x:v>0</x:v>
      </x:c>
      <x:c r="D85" s="20" t="n">
        <x:f>COUNTIFS($B$12:$B$71,A85,$D$12:$D$71,"Not Started")</x:f>
        <x:v>6</x:v>
      </x:c>
      <x:c r="E85" s="20" t="n">
        <x:f>COUNTIFS($B$12:$B$71,A85,$D$12:$D$71,"In Progress")</x:f>
        <x:v>0</x:v>
      </x:c>
      <x:c r="F85" s="20" t="n">
        <x:f>COUNTIFS($B$12:$B$71,A85,$D$12:$D$71,"Blocked")</x:f>
        <x:v>0</x:v>
      </x:c>
      <x:c r="G85" s="29" t="n">
        <x:f>IF(B85=0,0,C85/B85)</x:f>
        <x:v>0</x:v>
      </x:c>
      <x:c r="H85" s="20" t="n">
        <x:f>SUMIFS($H$12:$H$71,$B$12:$B$71,A85)</x:f>
        <x:v>25</x:v>
      </x:c>
      <x:c r="I85" s="20" t="n">
        <x:f>SUMIFS($H$12:$H$71,$B$12:$B$71,A85,$D$12:$D$71,"&lt;&gt;Completed")</x:f>
        <x:v>25</x:v>
      </x:c>
      <x:c r="J85" s="20" t="n">
        <x:f>COUNTIFS($B$12:$B$71,A85,$G$12:$G$71,"Ready")</x:f>
        <x:v>0</x:v>
      </x:c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 ht="38" customHeight="1">
      <x:c r="A86" s="19" t="str">
        <x:v>08 Research evidence</x:v>
      </x:c>
      <x:c r="B86" s="19" t="n">
        <x:f>COUNTIFS($B$12:$B$71,A86)</x:f>
        <x:v>6</x:v>
      </x:c>
      <x:c r="C86" s="19" t="n">
        <x:f>COUNTIFS($B$12:$B$71,A86,$D$12:$D$71,"Completed")</x:f>
        <x:v>0</x:v>
      </x:c>
      <x:c r="D86" s="19" t="n">
        <x:f>COUNTIFS($B$12:$B$71,A86,$D$12:$D$71,"Not Started")</x:f>
        <x:v>6</x:v>
      </x:c>
      <x:c r="E86" s="19" t="n">
        <x:f>COUNTIFS($B$12:$B$71,A86,$D$12:$D$71,"In Progress")</x:f>
        <x:v>0</x:v>
      </x:c>
      <x:c r="F86" s="19" t="n">
        <x:f>COUNTIFS($B$12:$B$71,A86,$D$12:$D$71,"Blocked")</x:f>
        <x:v>0</x:v>
      </x:c>
      <x:c r="G86" s="30" t="n">
        <x:f>IF(B86=0,0,C86/B86)</x:f>
        <x:v>0</x:v>
      </x:c>
      <x:c r="H86" s="19" t="n">
        <x:f>SUMIFS($H$12:$H$71,$B$12:$B$71,A86)</x:f>
        <x:v>25</x:v>
      </x:c>
      <x:c r="I86" s="19" t="n">
        <x:f>SUMIFS($H$12:$H$71,$B$12:$B$71,A86,$D$12:$D$71,"&lt;&gt;Completed")</x:f>
        <x:v>25</x:v>
      </x:c>
      <x:c r="J86" s="19" t="n">
        <x:f>COUNTIFS($B$12:$B$71,A86,$G$12:$G$71,"Ready")</x:f>
        <x:v>0</x:v>
      </x:c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 ht="38" customHeight="1">
      <x:c r="A87" s="20" t="str">
        <x:v>09 Portfolio release</x:v>
      </x:c>
      <x:c r="B87" s="20" t="n">
        <x:f>COUNTIFS($B$12:$B$71,A87)</x:f>
        <x:v>6</x:v>
      </x:c>
      <x:c r="C87" s="20" t="n">
        <x:f>COUNTIFS($B$12:$B$71,A87,$D$12:$D$71,"Completed")</x:f>
        <x:v>0</x:v>
      </x:c>
      <x:c r="D87" s="20" t="n">
        <x:f>COUNTIFS($B$12:$B$71,A87,$D$12:$D$71,"Not Started")</x:f>
        <x:v>6</x:v>
      </x:c>
      <x:c r="E87" s="20" t="n">
        <x:f>COUNTIFS($B$12:$B$71,A87,$D$12:$D$71,"In Progress")</x:f>
        <x:v>0</x:v>
      </x:c>
      <x:c r="F87" s="20" t="n">
        <x:f>COUNTIFS($B$12:$B$71,A87,$D$12:$D$71,"Blocked")</x:f>
        <x:v>0</x:v>
      </x:c>
      <x:c r="G87" s="29" t="n">
        <x:f>IF(B87=0,0,C87/B87)</x:f>
        <x:v>0</x:v>
      </x:c>
      <x:c r="H87" s="20" t="n">
        <x:f>SUMIFS($H$12:$H$71,$B$12:$B$71,A87)</x:f>
        <x:v>16</x:v>
      </x:c>
      <x:c r="I87" s="20" t="n">
        <x:f>SUMIFS($H$12:$H$71,$B$12:$B$71,A87,$D$12:$D$71,"&lt;&gt;Completed")</x:f>
        <x:v>16</x:v>
      </x:c>
      <x:c r="J87" s="20" t="n">
        <x:f>COUNTIFS($B$12:$B$71,A87,$G$12:$G$71,"Ready")</x:f>
        <x:v>0</x:v>
      </x:c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 ht="38" customHeight="1">
      <x:c r="A88" s="19" t="str">
        <x:v>10 Extensions</x:v>
      </x:c>
      <x:c r="B88" s="19" t="n">
        <x:f>COUNTIFS($B$12:$B$71,A88)</x:f>
        <x:v>6</x:v>
      </x:c>
      <x:c r="C88" s="19" t="n">
        <x:f>COUNTIFS($B$12:$B$71,A88,$D$12:$D$71,"Completed")</x:f>
        <x:v>0</x:v>
      </x:c>
      <x:c r="D88" s="19" t="n">
        <x:f>COUNTIFS($B$12:$B$71,A88,$D$12:$D$71,"Not Started")</x:f>
        <x:v>6</x:v>
      </x:c>
      <x:c r="E88" s="19" t="n">
        <x:f>COUNTIFS($B$12:$B$71,A88,$D$12:$D$71,"In Progress")</x:f>
        <x:v>0</x:v>
      </x:c>
      <x:c r="F88" s="19" t="n">
        <x:f>COUNTIFS($B$12:$B$71,A88,$D$12:$D$71,"Blocked")</x:f>
        <x:v>0</x:v>
      </x:c>
      <x:c r="G88" s="30" t="n">
        <x:f>IF(B88=0,0,C88/B88)</x:f>
        <x:v>0</x:v>
      </x:c>
      <x:c r="H88" s="19" t="n">
        <x:f>SUMIFS($H$12:$H$71,$B$12:$B$71,A88)</x:f>
        <x:v>52</x:v>
      </x:c>
      <x:c r="I88" s="19" t="n">
        <x:f>SUMIFS($H$12:$H$71,$B$12:$B$71,A88,$D$12:$D$71,"&lt;&gt;Completed")</x:f>
        <x:v>52</x:v>
      </x:c>
      <x:c r="J88" s="19" t="n">
        <x:f>COUNTIFS($B$12:$B$71,A88,$G$12:$G$71,"Ready")</x:f>
        <x:v>0</x:v>
      </x:c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 ht="21" customHeight="1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 ht="21" customHeight="1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 ht="26" customHeight="1">
      <x:c r="A91" s="28" t="str">
        <x:v>How to use and scope</x:v>
      </x:c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 ht="21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 ht="65" customHeight="1">
      <x:c r="A93" s="2"/>
      <x:c r="B93" s="33" t="str">
        <x:v>Purpose</x:v>
      </x:c>
      <x:c r="C93" s="19" t="str">
        <x:v>Measure and improve agent task success, security and repeatability with an independently enforced tool boundary.</x:v>
      </x:c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 ht="65" customHeight="1">
      <x:c r="A94" s="2"/>
      <x:c r="B94" s="33" t="str">
        <x:v>Architecture</x:v>
      </x:c>
      <x:c r="C94" s="19" t="str">
        <x:v>Test cases → agent adapter → policy gateway → sandbox tools → trace store → evaluators → regression gate.</x:v>
      </x:c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 ht="125" customHeight="1">
      <x:c r="A95" s="2"/>
      <x:c r="B95" s="33" t="str">
        <x:v>Build order</x:v>
      </x:c>
      <x:c r="C95" s="19" t="str">
        <x:v>Work through phases 01–09 for Core. Phase 10 is optional. Dependencies refer to task IDs in this sheet; independent projects need no other project to be finished. Suggested portfolio order: TrustBench, VeriSQL, ColGraph, EdgeSentinel.</x:v>
      </x:c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 ht="110" customHeight="1">
      <x:c r="A96" s="2"/>
      <x:c r="B96" s="33" t="str">
        <x:v>Status and evidence</x:v>
      </x:c>
      <x:c r="C96" s="19" t="str">
        <x:v>Use the status dropdown. Completed is a manual claim that every acceptance criterion passed. Paste the real report, commit or run URL in Actual evidence link. Expected evidence is a planned path, not a completed artifact.</x:v>
      </x:c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 ht="110" customHeight="1">
      <x:c r="A97" s="2"/>
      <x:c r="B97" s="33" t="str">
        <x:v>Readiness</x:v>
      </x:c>
      <x:c r="C97" s="19" t="str">
        <x:v>Ready means both listed dependencies are marked Completed with evidence. Waiting means a prerequisite remains open. Bad dependency means an unknown/duplicate ID. Check prerequisites flags a task completed too early.</x:v>
      </x:c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 ht="95" customHeight="1">
      <x:c r="A98" s="2"/>
      <x:c r="B98" s="33" t="str">
        <x:v>Blocked work</x:v>
      </x:c>
      <x:c r="C98" s="19" t="str">
        <x:v>Set Status to Blocked and record the reason plus next action in the final column. Readiness can still show Waiting if a dependency is unfinished. Unblock before continuing.</x:v>
      </x:c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 ht="110" customHeight="1">
      <x:c r="A99" s="2"/>
      <x:c r="B99" s="33" t="str">
        <x:v>Progress definition</x:v>
      </x:c>
      <x:c r="C99" s="19" t="str">
        <x:v>Completion uses Completed task count, not subjective partial credit. Remaining hours subtract only completed tasks. Evidence gaps count completed tasks with an empty evidence field. Verify evidence quality manually.</x:v>
      </x:c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 ht="125" customHeight="1">
      <x:c r="A100" s="2"/>
      <x:c r="B100" s="33" t="str">
        <x:v>Effort and dates</x:v>
      </x:c>
      <x:c r="C100" s="19" t="str">
        <x:v>Hours are rough active-work estimates, excluding unattended training, access waits and review delays. Edit estimates and hours/week. Core weeks left is remaining Core hours divided by capacity, not a promised calendar schedule. Enter your own due dates.</x:v>
      </x:c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 ht="110" customHeight="1">
      <x:c r="A101" s="2"/>
      <x:c r="B101" s="33" t="str">
        <x:v>Blank inputs</x:v>
      </x:c>
      <x:c r="C101" s="19" t="str">
        <x:v>Owners, deadlines, actual evidence, blockers and benchmark measurements are intentionally blank. All project tasks begin Not Started. Research plans, targets and effort estimates are proposals, never measured achievements.</x:v>
      </x:c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 ht="125" customHeight="1">
      <x:c r="A102" s="2"/>
      <x:c r="B102" s="33" t="str">
        <x:v>Metric entries</x:v>
      </x:c>
      <x:c r="C102" s="19" t="str">
        <x:v>Record baseline/candidate values only for matching units, splits and protocols. Delta is candidate minus baseline. Rates use one consistent decimal or percentage-point unit. Use the run link for intervals, counts and multi-value metrics.</x:v>
      </x:c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 ht="110" customHeight="1">
      <x:c r="A103" s="2"/>
      <x:c r="B103" s="33" t="str">
        <x:v>Acceptance versus improvement</x:v>
      </x:c>
      <x:c r="C103" s="19" t="str">
        <x:v>A research task can finish with a null/negative result if protocol, analysis and evidence are complete. Production promotion must satisfy its own frozen gates. Do not invent improvements to mark a study complete.</x:v>
      </x:c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 ht="110" customHeight="1">
      <x:c r="A104" s="2"/>
      <x:c r="B104" s="33" t="str">
        <x:v>Workbook maintenance</x:v>
      </x:c>
      <x:c r="C104" s="19" t="str">
        <x:v>This inventory has fixed bounded formulas. To add tasks, insert inside the inventory, update dashboard/readiness/phase ranges and validation as needed, and recheck counts. Do not insert a task into the source or metric tables.</x:v>
      </x:c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 ht="95" customHeight="1">
      <x:c r="A105" s="2"/>
      <x:c r="B105" s="33" t="str">
        <x:v>Master and standalone copies</x:v>
      </x:c>
      <x:c r="C105" s="19" t="str">
        <x:v>Use the four-sheet master as the source of truth or choose a standalone copy. The workbooks do not synchronize. Avoid recording progress in multiple copies.</x:v>
      </x:c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 ht="110" customHeight="1">
      <x:c r="A106" s="2"/>
      <x:c r="B106" s="33" t="str">
        <x:v>Source freshness</x:v>
      </x:c>
      <x:c r="C106" s="19" t="str">
        <x:v>Planning references checked on 14-Oct-2026. Main/latest docs can change. Pin versions during implementation and record access failures. A linked source supports tool/data choices, not novel performance claims.</x:v>
      </x:c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 ht="110" customHeight="1">
      <x:c r="A107" s="2"/>
      <x:c r="B107" s="33" t="str">
        <x:v>Research release</x:v>
      </x:c>
      <x:c r="C107" s="19" t="str">
        <x:v>Deliver a literature matrix, preregistered protocol, raw run manifests, baselines, uncertainty, ablations, failure analysis and report. Publication acceptance, patentability and top-1-percent hiring outcomes are not promised.</x:v>
      </x:c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 ht="21" customHeight="1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 ht="21" customHeight="1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 ht="26" customHeight="1">
      <x:c r="A110" s="28" t="str">
        <x:v>Resources and hardware</x:v>
      </x:c>
      <x:c r="B110" s="28"/>
      <x:c r="C110" s="28"/>
      <x:c r="D110" s="28"/>
      <x:c r="E110" s="28"/>
      <x:c r="F110" s="28"/>
      <x:c r="G110" s="28"/>
      <x:c r="H110" s="28"/>
      <x:c r="I110" s="28"/>
      <x:c r="J110" s="28"/>
      <x:c r="K110" s="28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 ht="21" customHeight="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 ht="95" customHeight="1">
      <x:c r="A112" s="2"/>
      <x:c r="B112" s="33" t="str">
        <x:v>Compute route</x:v>
      </x:c>
      <x:c r="C112" s="19" t="str">
        <x:v>CPU laptop and hosted model API are a viable starting route. Set an API budget before runs. A local GPU is optional and must be profiled for the chosen model; no fixed VRAM guarantee.</x:v>
      </x:c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 ht="95" customHeight="1">
      <x:c r="A113" s="2"/>
      <x:c r="B113" s="33" t="str">
        <x:v>Development kit</x:v>
      </x:c>
      <x:c r="C113" s="19" t="str">
        <x:v>Git repository, Python environment, dependency lock, test runner, container runtime where supported, issue tracker and artifact directory. Pin exact versions after compatibility checks.</x:v>
      </x:c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 ht="95" customHeight="1">
      <x:c r="A114" s="2"/>
      <x:c r="B114" s="33" t="str">
        <x:v>Access and accounts</x:v>
      </x:c>
      <x:c r="C114" s="19" t="str">
        <x:v>Core can begin locally. Create provider/model-host accounts only if the chosen route needs them. Verify model/dataset access, licenses, rate limits and current pricing before paid jobs.</x:v>
      </x:c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 ht="80" customHeight="1">
      <x:c r="A115" s="2"/>
      <x:c r="B115" s="33" t="str">
        <x:v>Data and experiment storage</x:v>
      </x:c>
      <x:c r="C115" s="19" t="str">
        <x:v>Keep raw inputs immutable. Version derived datasets, split manifests, configs, seeds, logs and result tables. Use content hashes and retain failed runs.</x:v>
      </x:c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 ht="95" customHeight="1">
      <x:c r="A116" s="2"/>
      <x:c r="B116" s="33" t="str">
        <x:v>Budget control</x:v>
      </x:c>
      <x:c r="C116" s="19" t="str">
        <x:v>Record actual rate, currency, token/GPU-hour budget and hard stop during the pilot. No dollar/rupee price is assumed in this workbook. Estimate cost from your measured workload.</x:v>
      </x:c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 ht="95" customHeight="1">
      <x:c r="A117" s="2"/>
      <x:c r="B117" s="33" t="str">
        <x:v>Optional complexity</x:v>
      </x:c>
      <x:c r="C117" s="19" t="str">
        <x:v>Add graph databases, distributed queues, Kubernetes, multiple GPUs or new modalities only after a measured limitation justifies them. They are not prerequisites for the local core.</x:v>
      </x:c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 ht="21" customHeight="1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  <x:row r="119" ht="21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</x:row>
    <x:row r="120" ht="26" customHeight="1">
      <x:c r="A120" s="28" t="str">
        <x:v>Dataset register</x:v>
      </x:c>
      <x:c r="B120" s="28"/>
      <x:c r="C120" s="28"/>
      <x:c r="D120" s="28"/>
      <x:c r="E120" s="28"/>
      <x:c r="F120" s="28"/>
      <x:c r="G120" s="28"/>
      <x:c r="H120" s="28"/>
      <x:c r="I120" s="28"/>
      <x:c r="J120" s="28"/>
      <x:c r="K120" s="28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</x:row>
    <x:row r="121" ht="21" customHeight="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</x:row>
    <x:row r="122" ht="32" customHeight="1">
      <x:c r="A122" s="9" t="str">
        <x:v>Data ID</x:v>
      </x:c>
      <x:c r="B122" s="9" t="str">
        <x:v>Dataset</x:v>
      </x:c>
      <x:c r="C122" s="9" t="str">
        <x:v>Purpose</x:v>
      </x:c>
      <x:c r="D122" s="9" t="str">
        <x:v>Source IDs</x:v>
      </x:c>
      <x:c r="E122" s="9" t="str">
        <x:v>Acquisition</x:v>
      </x:c>
      <x:c r="F122" s="9" t="str">
        <x:v>Split / license / handling</x:v>
      </x:c>
      <x:c r="G122" s="9" t="str">
        <x:v>Limitations</x:v>
      </x:c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</x:row>
    <x:row r="123" ht="190" customHeight="1">
      <x:c r="A123" s="20" t="str">
        <x:v>TB-D1</x:v>
      </x:c>
      <x:c r="B123" s="20" t="str">
        <x:v>AgentDojo selected suites</x:v>
      </x:c>
      <x:c r="C123" s="20" t="str">
        <x:v>External evaluation</x:v>
      </x:c>
      <x:c r="D123" s="20" t="str">
        <x:v>TB-S1</x:v>
      </x:c>
      <x:c r="E123" s="20" t="str">
        <x:v>Official repository at a pinned commit</x:v>
      </x:c>
      <x:c r="F123" s="20" t="str">
        <x:v>Record license and exact suite/task IDs. Tune on separate families.</x:v>
      </x:c>
      <x:c r="G123" s="20" t="str">
        <x:v>Benchmark may require provider credentials; label all subset results.</x:v>
      </x:c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</x:row>
    <x:row r="124" ht="190" customHeight="1">
      <x:c r="A124" s="19" t="str">
        <x:v>TB-D2</x:v>
      </x:c>
      <x:c r="B124" s="19" t="str">
        <x:v>Synthetic workflow fixtures</x:v>
      </x:c>
      <x:c r="C124" s="19" t="str">
        <x:v>Development and policy invariants</x:v>
      </x:c>
      <x:c r="D124" s="19" t="str">
        <x:v>TB-S1</x:v>
      </x:c>
      <x:c r="E124" s="19" t="str">
        <x:v>Locally generated documents, users, tools and expected state</x:v>
      </x:c>
      <x:c r="F124" s="19" t="str">
        <x:v>No personal data. Version task templates and seed.</x:v>
      </x:c>
      <x:c r="G124" s="19" t="str">
        <x:v>Ground truth comes from state checks, not a judge model.</x:v>
      </x:c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</x:row>
    <x:row r="125" ht="190" customHeight="1">
      <x:c r="A125" s="20" t="str">
        <x:v>TB-D3</x:v>
      </x:c>
      <x:c r="B125" s="20" t="str">
        <x:v>Local attack and failure fixtures</x:v>
      </x:c>
      <x:c r="C125" s="20" t="str">
        <x:v>Robustness holdout</x:v>
      </x:c>
      <x:c r="D125" s="20" t="str">
        <x:v>TB-S2</x:v>
      </x:c>
      <x:c r="E125" s="20" t="str">
        <x:v>Isolated injected documents, timeouts and malformed tool outputs</x:v>
      </x:c>
      <x:c r="F125" s="20" t="str">
        <x:v>Split by attack/template family before tuning.</x:v>
      </x:c>
      <x:c r="G125" s="20" t="str">
        <x:v>These measure only the defined threat model.</x:v>
      </x:c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</x:row>
    <x:row r="126" ht="21" customHeight="1">
      <x:c r="A126" s="2"/>
      <x:c r="B126" s="2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</x:row>
    <x:row r="127" ht="21" customHeight="1">
      <x:c r="A127" s="2"/>
      <x:c r="B127" s="2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</x:row>
    <x:row r="128" ht="26" customHeight="1">
      <x:c r="A128" s="28" t="str">
        <x:v>Evaluation register — measurements start blank</x:v>
      </x:c>
      <x:c r="B128" s="28"/>
      <x:c r="C128" s="28"/>
      <x:c r="D128" s="28"/>
      <x:c r="E128" s="28"/>
      <x:c r="F128" s="28"/>
      <x:c r="G128" s="28"/>
      <x:c r="H128" s="28"/>
      <x:c r="I128" s="28"/>
      <x:c r="J128" s="28"/>
      <x:c r="K128" s="28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</x:row>
    <x:row r="129" ht="21" customHeight="1">
      <x:c r="A129" s="2" t="str">
        <x:v>Record the unit and run link before comparing values. Delta = candidate − baseline; it is not automatically a pass/fail decision.</x:v>
      </x:c>
      <x:c r="B129" s="2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</x:row>
    <x:row r="130" ht="32" customHeight="1">
      <x:c r="A130" s="9" t="str">
        <x:v>Metric ID</x:v>
      </x:c>
      <x:c r="B130" s="9" t="str">
        <x:v>Metric</x:v>
      </x:c>
      <x:c r="C130" s="9" t="str">
        <x:v>Definition / denominator</x:v>
      </x:c>
      <x:c r="D130" s="9" t="str">
        <x:v>Better direction</x:v>
      </x:c>
      <x:c r="E130" s="9" t="str">
        <x:v>Baseline value</x:v>
      </x:c>
      <x:c r="F130" s="9" t="str">
        <x:v>Candidate value</x:v>
      </x:c>
      <x:c r="G130" s="9" t="str">
        <x:v>Delta (formula)</x:v>
      </x:c>
      <x:c r="H130" s="9" t="str">
        <x:v>Unit</x:v>
      </x:c>
      <x:c r="I130" s="9" t="str">
        <x:v>Target (optional)</x:v>
      </x:c>
      <x:c r="J130" s="9" t="str">
        <x:v>Run / evidence link</x:v>
      </x:c>
      <x:c r="K130" s="9" t="str">
        <x:v>Protocol and acceptance guidance</x:v>
      </x:c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</x:row>
    <x:row r="131" ht="105" customHeight="1">
      <x:c r="A131" s="20" t="str">
        <x:v>TB-M1</x:v>
      </x:c>
      <x:c r="B131" s="20" t="str">
        <x:v>Benign task completion</x:v>
      </x:c>
      <x:c r="C131" s="20" t="str">
        <x:v>Successful benign tasks / all eligible benign tasks</x:v>
      </x:c>
      <x:c r="D131" s="20" t="str">
        <x:v>Higher</x:v>
      </x:c>
      <x:c r="E131" s="34"/>
      <x:c r="F131" s="34"/>
      <x:c r="G131" s="35" t="str">
        <x:f>IF(AND(ISNUMBER(E131),ISNUMBER(F131)),F131-E131,"")</x:f>
      </x:c>
      <x:c r="H131" s="23" t="str"/>
      <x:c r="I131" s="23"/>
      <x:c r="J131" s="23" t="str"/>
      <x:c r="K131" s="20" t="str">
        <x:v>State-based checker on paired held-out tasks. Set acceptable utility loss on tuning data before holdout.</x:v>
      </x:c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</x:row>
    <x:row r="132" ht="105" customHeight="1">
      <x:c r="A132" s="19" t="str">
        <x:v>TB-M2</x:v>
      </x:c>
      <x:c r="B132" s="19" t="str">
        <x:v>Attack success rate</x:v>
      </x:c>
      <x:c r="C132" s="19" t="str">
        <x:v>Attacker goals achieved / all eligible attack trials</x:v>
      </x:c>
      <x:c r="D132" s="19" t="str">
        <x:v>Lower</x:v>
      </x:c>
      <x:c r="E132" s="34"/>
      <x:c r="F132" s="34"/>
      <x:c r="G132" s="36" t="str">
        <x:f>IF(AND(ISNUMBER(E132),ISNUMBER(F132)),F132-E132,"")</x:f>
      </x:c>
      <x:c r="H132" s="23" t="str"/>
      <x:c r="I132" s="23"/>
      <x:c r="J132" s="23" t="str"/>
      <x:c r="K132" s="19" t="str">
        <x:v>Report per-family and overall with task-clustered intervals. Do not infer zero risk from zero observed attacks.</x:v>
      </x:c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</x:row>
    <x:row r="133" ht="105" customHeight="1">
      <x:c r="A133" s="20" t="str">
        <x:v>TB-M3</x:v>
      </x:c>
      <x:c r="B133" s="20" t="str">
        <x:v>False-block rate</x:v>
      </x:c>
      <x:c r="C133" s="20" t="str">
        <x:v>Blocked permitted calls / all permitted attempted calls</x:v>
      </x:c>
      <x:c r="D133" s="20" t="str">
        <x:v>Lower</x:v>
      </x:c>
      <x:c r="E133" s="34"/>
      <x:c r="F133" s="34"/>
      <x:c r="G133" s="35" t="str">
        <x:f>IF(AND(ISNUMBER(E133),ISNUMBER(F133)),F133-E133,"")</x:f>
      </x:c>
      <x:c r="H133" s="23" t="str"/>
      <x:c r="I133" s="23"/>
      <x:c r="J133" s="23" t="str"/>
      <x:c r="K133" s="20" t="str">
        <x:v>Use independently labeled permitted actions. Also report benign task completion to expose workflow impact.</x:v>
      </x:c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</x:row>
    <x:row r="134" ht="105" customHeight="1">
      <x:c r="A134" s="19" t="str">
        <x:v>TB-M4</x:v>
      </x:c>
      <x:c r="B134" s="19" t="str">
        <x:v>Repeated-run all-success</x:v>
      </x:c>
      <x:c r="C134" s="19" t="str">
        <x:v>Tasks successful in every repeat / tasks with full repeat schedule</x:v>
      </x:c>
      <x:c r="D134" s="19" t="str">
        <x:v>Higher</x:v>
      </x:c>
      <x:c r="E134" s="34"/>
      <x:c r="F134" s="34"/>
      <x:c r="G134" s="36" t="str">
        <x:f>IF(AND(ISNUMBER(E134),ISNUMBER(F134)),F134-E134,"")</x:f>
      </x:c>
      <x:c r="H134" s="23" t="str"/>
      <x:c r="I134" s="23"/>
      <x:c r="J134" s="23" t="str"/>
      <x:c r="K134" s="19" t="str">
        <x:v>Report repeat count, per-task frequency and missing-run count. Do not mix different repeat schedules.</x:v>
      </x:c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</x:row>
    <x:row r="135" ht="105" customHeight="1">
      <x:c r="A135" s="20" t="str">
        <x:v>TB-M5</x:v>
      </x:c>
      <x:c r="B135" s="20" t="str">
        <x:v>Attribution accuracy</x:v>
      </x:c>
      <x:c r="C135" s="20" t="str">
        <x:v>Correct first-failure labels / reviewed labeled traces</x:v>
      </x:c>
      <x:c r="D135" s="20" t="str">
        <x:v>Higher</x:v>
      </x:c>
      <x:c r="E135" s="34"/>
      <x:c r="F135" s="34"/>
      <x:c r="G135" s="35" t="str">
        <x:f>IF(AND(ISNUMBER(E135),ISNUMBER(F135)),F135-E135,"")</x:f>
      </x:c>
      <x:c r="H135" s="23" t="str"/>
      <x:c r="I135" s="23"/>
      <x:c r="J135" s="23" t="str"/>
      <x:c r="K135" s="20" t="str">
        <x:v>Human-adjudicated stratified trace sample. Judge output alone is insufficient ground truth.</x:v>
      </x:c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</x:row>
    <x:row r="136" ht="105" customHeight="1">
      <x:c r="A136" s="19" t="str">
        <x:v>TB-M6</x:v>
      </x:c>
      <x:c r="B136" s="19" t="str">
        <x:v>End-to-end p95 latency</x:v>
      </x:c>
      <x:c r="C136" s="19" t="str">
        <x:v>95th percentile of elapsed request-to-final-outcome seconds</x:v>
      </x:c>
      <x:c r="D136" s="19" t="str">
        <x:v>Lower</x:v>
      </x:c>
      <x:c r="E136" s="34"/>
      <x:c r="F136" s="34"/>
      <x:c r="G136" s="36" t="str">
        <x:f>IF(AND(ISNUMBER(E136),ISNUMBER(F136)),F136-E136,"")</x:f>
      </x:c>
      <x:c r="H136" s="23" t="str"/>
      <x:c r="I136" s="23"/>
      <x:c r="J136" s="23" t="str"/>
      <x:c r="K136" s="19" t="str">
        <x:v>Same workload, concurrency, model and retries. Report timeouts separately and include queueing.</x:v>
      </x:c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</x:row>
    <x:row r="137" ht="105" customHeight="1">
      <x:c r="A137" s="20" t="str">
        <x:v>TB-M7</x:v>
      </x:c>
      <x:c r="B137" s="20" t="str">
        <x:v>Cost per successful task</x:v>
      </x:c>
      <x:c r="C137" s="20" t="str">
        <x:v>Total billed currency across all attempts / successes</x:v>
      </x:c>
      <x:c r="D137" s="20" t="str">
        <x:v>Lower</x:v>
      </x:c>
      <x:c r="E137" s="34"/>
      <x:c r="F137" s="34"/>
      <x:c r="G137" s="35" t="str">
        <x:f>IF(AND(ISNUMBER(E137),ISNUMBER(F137)),F137-E137,"")</x:f>
      </x:c>
      <x:c r="H137" s="23" t="str"/>
      <x:c r="I137" s="23"/>
      <x:c r="J137" s="23" t="str"/>
      <x:c r="K137" s="20" t="str">
        <x:v>Provider price date plus raw token/cost ledger. If successes are zero, report undefined rather than zero.</x:v>
      </x:c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</x:row>
    <x:row r="138" ht="21" customHeight="1">
      <x:c r="A138" s="2"/>
      <x:c r="B138" s="2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</x:row>
    <x:row r="139" ht="21" customHeight="1">
      <x:c r="A139" s="2"/>
      <x:c r="B139" s="2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</x:row>
    <x:row r="140" ht="21" customHeight="1">
      <x:c r="A140" s="2"/>
      <x:c r="B140" s="2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</x:row>
    <x:row r="141" ht="26" customHeight="1">
      <x:c r="A141" s="28" t="str">
        <x:v>Research experiment inventory</x:v>
      </x:c>
      <x:c r="B141" s="28"/>
      <x:c r="C141" s="28"/>
      <x:c r="D141" s="28"/>
      <x:c r="E141" s="28"/>
      <x:c r="F141" s="28"/>
      <x:c r="G141" s="28"/>
      <x:c r="H141" s="28"/>
      <x:c r="I141" s="28"/>
      <x:c r="J141" s="28"/>
      <x:c r="K141" s="28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</x:row>
    <x:row r="142" ht="21" customHeight="1">
      <x:c r="A142" s="2"/>
      <x:c r="B142" s="2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</x:row>
    <x:row r="143" ht="32" customHeight="1">
      <x:c r="A143" s="9" t="str">
        <x:v>Experiment ID</x:v>
      </x:c>
      <x:c r="B143" s="9" t="str">
        <x:v>Research question</x:v>
      </x:c>
      <x:c r="C143" s="9" t="str">
        <x:v>Comparators</x:v>
      </x:c>
      <x:c r="D143" s="9" t="str">
        <x:v>Status</x:v>
      </x:c>
      <x:c r="E143" s="9" t="str">
        <x:v>Config / run IDs</x:v>
      </x:c>
      <x:c r="F143" s="9" t="str">
        <x:v>Result reference</x:v>
      </x:c>
      <x:c r="G143" s="9" t="str">
        <x:v>Decision / finding</x:v>
      </x:c>
      <x:c r="H143" s="9" t="str">
        <x:v>Compute used</x:v>
      </x:c>
      <x:c r="I143" s="9" t="str">
        <x:v>Reviewer</x:v>
      </x:c>
      <x:c r="J143" s="9" t="str">
        <x:v>Review date</x:v>
      </x:c>
      <x:c r="K143" s="9" t="str">
        <x:v>Controls and analysis</x:v>
      </x:c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</x:row>
    <x:row r="144" ht="94" customHeight="1">
      <x:c r="A144" s="20" t="str">
        <x:v>T-E1</x:v>
      </x:c>
      <x:c r="B144" s="20" t="str">
        <x:v>Does gateway enforcement reduce attack success without excessive utility loss?</x:v>
      </x:c>
      <x:c r="C144" s="20" t="str">
        <x:v>Baseline vs schema-only vs full gateway</x:v>
      </x:c>
      <x:c r="D144" s="23" t="str">
        <x:v>Not Started</x:v>
      </x:c>
      <x:c r="E144" s="23"/>
      <x:c r="F144" s="23"/>
      <x:c r="G144" s="23"/>
      <x:c r="H144" s="23"/>
      <x:c r="I144" s="23"/>
      <x:c r="J144" s="25"/>
      <x:c r="K144" s="20" t="str">
        <x:v>Paired tasks, same model/settings and repeat schedule. Analysis: Task-clustered intervals and failure slices</x:v>
      </x:c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</x:row>
    <x:row r="145" ht="94" customHeight="1">
      <x:c r="A145" s="19" t="str">
        <x:v>T-E2</x:v>
      </x:c>
      <x:c r="B145" s="19" t="str">
        <x:v>Which enforcement layer contributes?</x:v>
      </x:c>
      <x:c r="C145" s="19" t="str">
        <x:v>Remove provenance, capability checks or approval individually</x:v>
      </x:c>
      <x:c r="D145" s="23" t="str">
        <x:v>Not Started</x:v>
      </x:c>
      <x:c r="E145" s="23"/>
      <x:c r="F145" s="23"/>
      <x:c r="G145" s="23"/>
      <x:c r="H145" s="23"/>
      <x:c r="I145" s="23"/>
      <x:c r="J145" s="25"/>
      <x:c r="K145" s="19" t="str">
        <x:v>Same frozen holdout and resource budgets. Analysis: Ablation effects and utility/cost tradeoff</x:v>
      </x:c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</x:row>
    <x:row r="146" ht="94" customHeight="1">
      <x:c r="A146" s="20" t="str">
        <x:v>T-E3</x:v>
      </x:c>
      <x:c r="B146" s="20" t="str">
        <x:v>Does recovery improve reliability under faults?</x:v>
      </x:c>
      <x:c r="C146" s="20" t="str">
        <x:v>No retries vs bounded retries/checkpoints</x:v>
      </x:c>
      <x:c r="D146" s="23" t="str">
        <x:v>Not Started</x:v>
      </x:c>
      <x:c r="E146" s="23"/>
      <x:c r="F146" s="23"/>
      <x:c r="G146" s="23"/>
      <x:c r="H146" s="23"/>
      <x:c r="I146" s="23"/>
      <x:c r="J146" s="25"/>
      <x:c r="K146" s="20" t="str">
        <x:v>Identical injected fault schedule. Analysis: Success, duplicates, latency and billed cost</x:v>
      </x:c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</x:row>
    <x:row r="147" ht="94" customHeight="1">
      <x:c r="A147" s="19" t="str">
        <x:v>T-E4</x:v>
      </x:c>
      <x:c r="B147" s="19" t="str">
        <x:v>Do trace diagnoses identify real causes?</x:v>
      </x:c>
      <x:c r="C147" s="19" t="str">
        <x:v>Rule attribution vs reviewed labels; intervention as extension</x:v>
      </x:c>
      <x:c r="D147" s="23" t="str">
        <x:v>Not Started</x:v>
      </x:c>
      <x:c r="E147" s="23"/>
      <x:c r="F147" s="23"/>
      <x:c r="G147" s="23"/>
      <x:c r="H147" s="23"/>
      <x:c r="I147" s="23"/>
      <x:c r="J147" s="25"/>
      <x:c r="K147" s="19" t="str">
        <x:v>Same labeled sample and blind review. Analysis: Accuracy plus limitations of causal interpretation</x:v>
      </x:c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</x:row>
    <x:row r="148" ht="21" customHeight="1">
      <x:c r="A148" s="2"/>
      <x:c r="B148" s="2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</x:row>
    <x:row r="149" ht="21" customHeight="1">
      <x:c r="A149" s="2"/>
      <x:c r="B149" s="2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</x:row>
    <x:row r="150" ht="26" customHeight="1">
      <x:c r="A150" s="28" t="str">
        <x:v>Project risks and mitigations</x:v>
      </x:c>
      <x:c r="B150" s="28"/>
      <x:c r="C150" s="28"/>
      <x:c r="D150" s="28"/>
      <x:c r="E150" s="28"/>
      <x:c r="F150" s="28"/>
      <x:c r="G150" s="28"/>
      <x:c r="H150" s="28"/>
      <x:c r="I150" s="28"/>
      <x:c r="J150" s="28"/>
      <x:c r="K150" s="28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</x:row>
    <x:row r="151" ht="21" customHeight="1">
      <x:c r="A151" s="2"/>
      <x:c r="B151" s="2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</x:row>
    <x:row r="152" ht="32" customHeight="1">
      <x:c r="A152" s="9" t="str">
        <x:v>Risk ID</x:v>
      </x:c>
      <x:c r="B152" s="9" t="str">
        <x:v>Risk</x:v>
      </x:c>
      <x:c r="C152" s="9" t="str">
        <x:v>Trigger / concern</x:v>
      </x:c>
      <x:c r="D152" s="9" t="str">
        <x:v>Owner</x:v>
      </x:c>
      <x:c r="E152" s="9" t="str">
        <x:v>Status</x:v>
      </x:c>
      <x:c r="F152" s="9" t="str">
        <x:v>Issue reference</x:v>
      </x:c>
      <x:c r="G152" s="9" t="str">
        <x:v>Next action</x:v>
      </x:c>
      <x:c r="H152" s="9" t="str">
        <x:v>Review effort h</x:v>
      </x:c>
      <x:c r="I152" s="9" t="str">
        <x:v>Due</x:v>
      </x:c>
      <x:c r="J152" s="9" t="str">
        <x:v>Evidence</x:v>
      </x:c>
      <x:c r="K152" s="9" t="str">
        <x:v>Mitigation</x:v>
      </x:c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</x:row>
    <x:row r="153" ht="94" customHeight="1">
      <x:c r="A153" s="20" t="str">
        <x:v>TB-R1</x:v>
      </x:c>
      <x:c r="B153" s="20" t="str">
        <x:v>Threat-model coverage</x:v>
      </x:c>
      <x:c r="C153" s="20" t="str">
        <x:v>Unknown attack families remain untested</x:v>
      </x:c>
      <x:c r="D153" s="23"/>
      <x:c r="E153" s="23"/>
      <x:c r="F153" s="23"/>
      <x:c r="G153" s="23"/>
      <x:c r="H153" s="23"/>
      <x:c r="I153" s="25"/>
      <x:c r="J153" s="23"/>
      <x:c r="K153" s="20" t="str">
        <x:v>State supported surfaces and maintain new-family holdouts</x:v>
      </x:c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</x:row>
    <x:row r="154" ht="94" customHeight="1">
      <x:c r="A154" s="19" t="str">
        <x:v>TB-R2</x:v>
      </x:c>
      <x:c r="B154" s="19" t="str">
        <x:v>Provider variability</x:v>
      </x:c>
      <x:c r="C154" s="19" t="str">
        <x:v>Model revisions or outages confound comparisons</x:v>
      </x:c>
      <x:c r="D154" s="23"/>
      <x:c r="E154" s="23"/>
      <x:c r="F154" s="23"/>
      <x:c r="G154" s="23"/>
      <x:c r="H154" s="23"/>
      <x:c r="I154" s="25"/>
      <x:c r="J154" s="23"/>
      <x:c r="K154" s="19" t="str">
        <x:v>Capture version/time; pair runs and report incomplete trials</x:v>
      </x:c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</x:row>
    <x:row r="155" ht="94" customHeight="1">
      <x:c r="A155" s="20" t="str">
        <x:v>TB-R3</x:v>
      </x:c>
      <x:c r="B155" s="20" t="str">
        <x:v>Policy bypass</x:v>
      </x:c>
      <x:c r="C155" s="20" t="str">
        <x:v>Raw client or alternate tool path bypasses gateway</x:v>
      </x:c>
      <x:c r="D155" s="23"/>
      <x:c r="E155" s="23"/>
      <x:c r="F155" s="23"/>
      <x:c r="G155" s="23"/>
      <x:c r="H155" s="23"/>
      <x:c r="I155" s="25"/>
      <x:c r="J155" s="23"/>
      <x:c r="K155" s="20" t="str">
        <x:v>Centralize invocation and test every adapter</x:v>
      </x:c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</x:row>
    <x:row r="156" ht="94" customHeight="1">
      <x:c r="A156" s="19" t="str">
        <x:v>TB-R4</x:v>
      </x:c>
      <x:c r="B156" s="19" t="str">
        <x:v>Spend growth</x:v>
      </x:c>
      <x:c r="C156" s="19" t="str">
        <x:v>Repeats, retries and attack variants multiply calls</x:v>
      </x:c>
      <x:c r="D156" s="23"/>
      <x:c r="E156" s="23"/>
      <x:c r="F156" s="23"/>
      <x:c r="G156" s="23"/>
      <x:c r="H156" s="23"/>
      <x:c r="I156" s="25"/>
      <x:c r="J156" s="23"/>
      <x:c r="K156" s="19" t="str">
        <x:v>Pilot first, bound jobs and stop at budget</x:v>
      </x:c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</x:row>
    <x:row r="157" ht="21" customHeight="1">
      <x:c r="A157" s="2"/>
      <x:c r="B157" s="2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</x:row>
    <x:row r="158" ht="21" customHeight="1">
      <x:c r="A158" s="2"/>
      <x:c r="B158" s="2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</x:row>
    <x:row r="159" ht="26" customHeight="1">
      <x:c r="A159" s="28" t="str">
        <x:v>Sources and verification notes</x:v>
      </x:c>
      <x:c r="B159" s="28"/>
      <x:c r="C159" s="28"/>
      <x:c r="D159" s="28"/>
      <x:c r="E159" s="28"/>
      <x:c r="F159" s="28"/>
      <x:c r="G159" s="28"/>
      <x:c r="H159" s="28"/>
      <x:c r="I159" s="28"/>
      <x:c r="J159" s="28"/>
      <x:c r="K159" s="28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</x:row>
    <x:row r="160" ht="21" customHeight="1">
      <x:c r="A160" s="2"/>
      <x:c r="B160" s="2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</x:row>
    <x:row r="161" ht="32" customHeight="1">
      <x:c r="A161" s="9" t="str">
        <x:v>Source ID</x:v>
      </x:c>
      <x:c r="B161" s="9" t="str">
        <x:v>Primary reference</x:v>
      </x:c>
      <x:c r="C161" s="9" t="str">
        <x:v>Use / verification limitation</x:v>
      </x:c>
      <x:c r="D161" s="9" t="str">
        <x:v>Checked on</x:v>
      </x:c>
      <x:c r="E161" s="9" t="str">
        <x:v>Pinned version</x:v>
      </x:c>
      <x:c r="F161" s="9" t="str">
        <x:v>Local access result</x:v>
      </x:c>
      <x:c r="G161" s="9" t="str">
        <x:v>License record</x:v>
      </x:c>
      <x:c r="H161" s="9" t="str">
        <x:v>Config reference</x:v>
      </x:c>
      <x:c r="I161" s="9" t="str">
        <x:v>Owner</x:v>
      </x:c>
      <x:c r="J161" s="9" t="str">
        <x:v>Notes</x:v>
      </x:c>
      <x:c r="K161" s="9" t="str">
        <x:v>Source URL</x:v>
      </x:c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</x:row>
    <x:row r="162" ht="115" customHeight="1">
      <x:c r="A162" s="20" t="str">
        <x:v>TB-S1</x:v>
      </x:c>
      <x:c r="B162" s="20" t="str">
        <x:v>AgentDojo repository</x:v>
      </x:c>
      <x:c r="C162" s="20" t="str">
        <x:v>Benchmark setup, task/attack suites and license. Pin a commit.</x:v>
      </x:c>
      <x:c r="D162" s="37" t="d">
        <x:v>2026-10-14T00:00:00.000Z</x:v>
      </x:c>
      <x:c r="E162" s="23"/>
      <x:c r="F162" s="23"/>
      <x:c r="G162" s="23"/>
      <x:c r="H162" s="23"/>
      <x:c r="I162" s="23"/>
      <x:c r="J162" s="23"/>
      <x:c r="K162" s="39" t="str">
        <x:v>https://github.com/ethz-spylab/agentdojo</x:v>
      </x:c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</x:row>
    <x:row r="163" ht="115" customHeight="1">
      <x:c r="A163" s="19" t="str">
        <x:v>TB-S2</x:v>
      </x:c>
      <x:c r="B163" s="19" t="str">
        <x:v>CaMeL: Defeating Prompt Injections by Design</x:v>
      </x:c>
      <x:c r="C163" s="19" t="str">
        <x:v>Prior work on separating control and untrusted data. Compare scope; do not claim the idea as new.</x:v>
      </x:c>
      <x:c r="D163" s="38" t="d">
        <x:v>2026-10-14T00:00:00.000Z</x:v>
      </x:c>
      <x:c r="E163" s="23"/>
      <x:c r="F163" s="23"/>
      <x:c r="G163" s="23"/>
      <x:c r="H163" s="23"/>
      <x:c r="I163" s="23"/>
      <x:c r="J163" s="23"/>
      <x:c r="K163" s="40" t="str">
        <x:v>https://arxiv.org/abs/2503.18813</x:v>
      </x:c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</x:row>
    <x:row r="164" ht="115" customHeight="1">
      <x:c r="A164" s="20" t="str">
        <x:v>TB-S3</x:v>
      </x:c>
      <x:c r="B164" s="20" t="str">
        <x:v>LangGraph interrupts</x:v>
      </x:c>
      <x:c r="C164" s="20" t="str">
        <x:v>Durable pause/resume and node replay behavior for approval workflows.</x:v>
      </x:c>
      <x:c r="D164" s="37" t="d">
        <x:v>2026-10-14T00:00:00.000Z</x:v>
      </x:c>
      <x:c r="E164" s="23"/>
      <x:c r="F164" s="23"/>
      <x:c r="G164" s="23"/>
      <x:c r="H164" s="23"/>
      <x:c r="I164" s="23"/>
      <x:c r="J164" s="23"/>
      <x:c r="K164" s="39" t="str">
        <x:v>https://docs.langchain.com/oss/python/langgraph/interrupts</x:v>
      </x:c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</x:row>
    <x:row r="165" ht="21" customHeight="1">
      <x:c r="A165" s="2"/>
      <x:c r="B165" s="2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</x:row>
    <x:row r="166" ht="21" customHeight="1">
      <x:c r="A166" s="2"/>
      <x:c r="B166" s="2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</x:row>
    <x:row r="167" ht="21" customHeight="1">
      <x:c r="A167" s="2" t="str">
        <x:v>Top: A1</x:v>
      </x:c>
      <x:c r="B167" s="2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</x:row>
  </x:sheetData>
  <x:conditionalFormatting sqref="D12:D71">
    <x:cfRule type="containsText" dxfId="0" priority="1" operator="containsText" text="Not Started"/>
    <x:cfRule type="containsText" dxfId="1" priority="2" operator="containsText" text="In Progress"/>
    <x:cfRule type="containsText" dxfId="2" priority="3" operator="containsText" text="Blocked"/>
    <x:cfRule type="containsText" dxfId="3" priority="4" operator="containsText" text="Completed"/>
  </x:conditionalFormatting>
  <x:conditionalFormatting sqref="G12:G71">
    <x:cfRule type="containsText" dxfId="4" priority="5" operator="containsText" text="Ready"/>
    <x:cfRule type="containsText" dxfId="5" priority="6" operator="containsText" text="Bad dependency"/>
    <x:cfRule type="containsText" dxfId="6" priority="7" operator="containsText" text="Check prerequisites"/>
    <x:cfRule type="containsText" dxfId="7" priority="8" operator="containsText" text="Evidence needed"/>
  </x:conditionalFormatting>
  <x:conditionalFormatting sqref="J5:J5">
    <x:cfRule type="cellIs" dxfId="8" priority="9" operator="greaterThan">
      <x:formula>0</x:formula>
    </x:cfRule>
  </x:conditionalFormatting>
  <x:dataValidations count="4">
    <x:dataValidation type="decimal" operator="between" sqref="B7">
      <x:formula1>1</x:formula1>
      <x:formula2>80</x:formula2>
    </x:dataValidation>
    <x:dataValidation type="list" sqref="D12:D71">
      <x:formula1>"Not Started,In Progress,Blocked,Completed"</x:formula1>
    </x:dataValidation>
    <x:dataValidation type="decimal" operator="between" sqref="H12:H71">
      <x:formula1>0.1</x:formula1>
      <x:formula2>1000</x:formula2>
    </x:dataValidation>
    <x:dataValidation type="list" sqref="D144:D147">
      <x:formula1>"Not Started,In Progress,Blocked,Completed"</x:formula1>
    </x:dataValidation>
  </x:dataValidations>
  <x:pageMargins left="0.7" right="0.7" top="0.75" bottom="0.75" header="0.3" footer="0.3"/>
  <x:tableParts count="7">
    <x:tablePart xmlns:r="http://schemas.openxmlformats.org/officeDocument/2006/relationships" r:id="R88909aa2cc8949b6"/>
    <x:tablePart xmlns:r="http://schemas.openxmlformats.org/officeDocument/2006/relationships" r:id="R1ec3ec7826334d3b"/>
    <x:tablePart xmlns:r="http://schemas.openxmlformats.org/officeDocument/2006/relationships" r:id="Rd162a523246a437b"/>
    <x:tablePart xmlns:r="http://schemas.openxmlformats.org/officeDocument/2006/relationships" r:id="R7934f52de527402e"/>
    <x:tablePart xmlns:r="http://schemas.openxmlformats.org/officeDocument/2006/relationships" r:id="R8b573d9f7d2943a5"/>
    <x:tablePart xmlns:r="http://schemas.openxmlformats.org/officeDocument/2006/relationships" r:id="R7cd794a4987e468d"/>
    <x:tablePart xmlns:r="http://schemas.openxmlformats.org/officeDocument/2006/relationships" r:id="R8524b5f700204d16"/>
  </x:tableParts>
</x:worksheet>
</file>