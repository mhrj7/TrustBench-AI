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5A03340E-F813-8240-8419-D1B5CA07E311}" xr6:coauthVersionLast="47" xr6:coauthVersionMax="47" xr10:uidLastSave="{00000000-0000-0000-0000-000000000000}"/>
  <bookViews>
    <workbookView xWindow="0" yWindow="0" windowWidth="51200" windowHeight="2880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G88" i="1" s="1"/>
  <c r="I87" i="1"/>
  <c r="H87" i="1"/>
  <c r="F87" i="1"/>
  <c r="E87" i="1"/>
  <c r="D87" i="1"/>
  <c r="C87" i="1"/>
  <c r="G87" i="1" s="1"/>
  <c r="B87" i="1"/>
  <c r="I86" i="1"/>
  <c r="H86" i="1"/>
  <c r="F86" i="1"/>
  <c r="E86" i="1"/>
  <c r="D86" i="1"/>
  <c r="C86" i="1"/>
  <c r="B86" i="1"/>
  <c r="G86" i="1" s="1"/>
  <c r="I85" i="1"/>
  <c r="H85" i="1"/>
  <c r="F85" i="1"/>
  <c r="E85" i="1"/>
  <c r="D85" i="1"/>
  <c r="C85" i="1"/>
  <c r="B85" i="1"/>
  <c r="G85" i="1" s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B83" i="1"/>
  <c r="G83" i="1" s="1"/>
  <c r="I82" i="1"/>
  <c r="H82" i="1"/>
  <c r="F82" i="1"/>
  <c r="E82" i="1"/>
  <c r="D82" i="1"/>
  <c r="C82" i="1"/>
  <c r="B82" i="1"/>
  <c r="G82" i="1" s="1"/>
  <c r="I81" i="1"/>
  <c r="H81" i="1"/>
  <c r="F81" i="1"/>
  <c r="E81" i="1"/>
  <c r="D81" i="1"/>
  <c r="C81" i="1"/>
  <c r="G81" i="1" s="1"/>
  <c r="B81" i="1"/>
  <c r="I80" i="1"/>
  <c r="H80" i="1"/>
  <c r="F80" i="1"/>
  <c r="E80" i="1"/>
  <c r="D80" i="1"/>
  <c r="C80" i="1"/>
  <c r="B80" i="1"/>
  <c r="G80" i="1" s="1"/>
  <c r="I79" i="1"/>
  <c r="H79" i="1"/>
  <c r="F79" i="1"/>
  <c r="E79" i="1"/>
  <c r="D79" i="1"/>
  <c r="C79" i="1"/>
  <c r="B79" i="1"/>
  <c r="G79" i="1" s="1"/>
  <c r="U71" i="1"/>
  <c r="G71" i="1"/>
  <c r="U70" i="1"/>
  <c r="G70" i="1"/>
  <c r="U69" i="1"/>
  <c r="G69" i="1"/>
  <c r="U68" i="1"/>
  <c r="G68" i="1"/>
  <c r="U67" i="1"/>
  <c r="G67" i="1"/>
  <c r="J88" i="1" s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U47" i="1"/>
  <c r="G47" i="1"/>
  <c r="U46" i="1"/>
  <c r="G46" i="1"/>
  <c r="U45" i="1"/>
  <c r="G45" i="1"/>
  <c r="U44" i="1"/>
  <c r="G44" i="1"/>
  <c r="U43" i="1"/>
  <c r="U42" i="1"/>
  <c r="U41" i="1"/>
  <c r="G41" i="1"/>
  <c r="U40" i="1"/>
  <c r="G40" i="1"/>
  <c r="U39" i="1"/>
  <c r="G39" i="1"/>
  <c r="U38" i="1"/>
  <c r="U37" i="1"/>
  <c r="G38" i="1" s="1"/>
  <c r="U36" i="1"/>
  <c r="G37" i="1" s="1"/>
  <c r="U35" i="1"/>
  <c r="G36" i="1" s="1"/>
  <c r="U34" i="1"/>
  <c r="G35" i="1" s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G28" i="1" s="1"/>
  <c r="U26" i="1"/>
  <c r="G27" i="1" s="1"/>
  <c r="U25" i="1"/>
  <c r="G26" i="1" s="1"/>
  <c r="U24" i="1"/>
  <c r="G25" i="1" s="1"/>
  <c r="U23" i="1"/>
  <c r="G24" i="1" s="1"/>
  <c r="J81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G20" i="1" s="1"/>
  <c r="U12" i="1"/>
  <c r="G14" i="1" s="1"/>
  <c r="G12" i="1"/>
  <c r="I5" i="1"/>
  <c r="H5" i="1"/>
  <c r="G5" i="1"/>
  <c r="F5" i="1"/>
  <c r="E5" i="1"/>
  <c r="D5" i="1"/>
  <c r="B5" i="1"/>
  <c r="A5" i="1"/>
  <c r="C5" i="1" s="1"/>
  <c r="J83" i="1" l="1"/>
  <c r="J85" i="1"/>
  <c r="J86" i="1"/>
  <c r="J87" i="1"/>
  <c r="G84" i="1"/>
  <c r="J82" i="1"/>
  <c r="J5" i="1"/>
  <c r="G17" i="1"/>
  <c r="G22" i="1"/>
  <c r="J80" i="1" s="1"/>
  <c r="G42" i="1"/>
  <c r="J84" i="1" s="1"/>
  <c r="G13" i="1"/>
  <c r="G15" i="1"/>
  <c r="J79" i="1" l="1"/>
</calcChain>
</file>

<file path=xl/sharedStrings.xml><?xml version="1.0" encoding="utf-8"?>
<sst xmlns="http://schemas.openxmlformats.org/spreadsheetml/2006/main" count="1038" uniqueCount="762">
  <si>
    <t>TrustBench-AI — implementation plan</t>
  </si>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</sst>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workbookViewId="0">
      <pane xSplit="3" ySplit="11" topLeftCell="D12" activePane="bottomRight" state="frozen"/>
      <selection pane="topRight"/>
      <selection pane="bottomLeft"/>
      <selection pane="bottomRight" activeCell="D12" sqref="D12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26</v>
      </c>
      <c r="C5" s="6">
        <f>IF(A5=0,0,B5/A5)</f>
        <v>0.43333333333333335</v>
      </c>
      <c r="D5" s="5">
        <f>COUNTIFS($D$12:$D$71,"Blocked")</f>
        <v>0</v>
      </c>
      <c r="E5" s="5">
        <f>SUM($H$12:$H$71)</f>
        <v>285</v>
      </c>
      <c r="F5" s="5">
        <f>SUMIFS($H$12:$H$71,$D$12:$D$71,"&lt;&gt;Completed")</f>
        <v>171</v>
      </c>
      <c r="G5" s="6">
        <f>COUNTIFS($Q$12:$Q$71,"Core",$D$12:$D$71,"Completed")/COUNTIFS($Q$12:$Q$71,"Core")</f>
        <v>0.48148148148148145</v>
      </c>
      <c r="H5" s="7">
        <f>IF(B7&gt;0,SUMIFS($H$12:$H$71,$Q$12:$Q$71,"Core",$D$12:$D$71,"&lt;&gt;Completed")/B7,"Set hours/week")</f>
        <v>9.9166666666666661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11</v>
      </c>
      <c r="B7" s="8">
        <v>12</v>
      </c>
      <c r="C7" s="1" t="s">
        <v>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13</v>
      </c>
      <c r="B8" s="9" t="s">
        <v>14</v>
      </c>
      <c r="C8" s="9" t="s">
        <v>15</v>
      </c>
      <c r="D8" s="9" t="s">
        <v>16</v>
      </c>
      <c r="E8" s="9" t="s">
        <v>17</v>
      </c>
      <c r="F8" s="9" t="s">
        <v>18</v>
      </c>
      <c r="G8" s="9" t="s">
        <v>19</v>
      </c>
      <c r="H8" s="9" t="s">
        <v>20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22</v>
      </c>
      <c r="B11" s="4" t="s">
        <v>23</v>
      </c>
      <c r="C11" s="4" t="s">
        <v>24</v>
      </c>
      <c r="D11" s="4" t="s">
        <v>25</v>
      </c>
      <c r="E11" s="4" t="s">
        <v>26</v>
      </c>
      <c r="F11" s="4" t="s">
        <v>27</v>
      </c>
      <c r="G11" s="4" t="s">
        <v>28</v>
      </c>
      <c r="H11" s="4" t="s">
        <v>29</v>
      </c>
      <c r="I11" s="4" t="s">
        <v>30</v>
      </c>
      <c r="J11" s="4" t="s">
        <v>31</v>
      </c>
      <c r="K11" s="4" t="s">
        <v>32</v>
      </c>
      <c r="L11" s="4" t="s">
        <v>33</v>
      </c>
      <c r="M11" s="4" t="s">
        <v>34</v>
      </c>
      <c r="N11" s="4" t="s">
        <v>35</v>
      </c>
      <c r="O11" s="4" t="s">
        <v>36</v>
      </c>
      <c r="P11" s="4" t="s">
        <v>37</v>
      </c>
      <c r="Q11" s="4" t="s">
        <v>38</v>
      </c>
      <c r="R11" s="4" t="s">
        <v>39</v>
      </c>
      <c r="S11" s="4" t="s">
        <v>40</v>
      </c>
      <c r="T11" s="4" t="s">
        <v>41</v>
      </c>
      <c r="U11" s="4" t="s">
        <v>42</v>
      </c>
    </row>
    <row r="12" spans="1:21" ht="64" customHeight="1">
      <c r="A12" s="12" t="s">
        <v>43</v>
      </c>
      <c r="B12" s="12" t="s">
        <v>44</v>
      </c>
      <c r="C12" s="12" t="s">
        <v>45</v>
      </c>
      <c r="D12" s="13" t="s">
        <v>2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46</v>
      </c>
      <c r="L12" s="12" t="s">
        <v>47</v>
      </c>
      <c r="M12" s="12" t="s">
        <v>48</v>
      </c>
      <c r="N12" s="12" t="s">
        <v>49</v>
      </c>
      <c r="O12" s="12" t="s">
        <v>50</v>
      </c>
      <c r="P12" s="12" t="s">
        <v>51</v>
      </c>
      <c r="Q12" s="12" t="s">
        <v>52</v>
      </c>
      <c r="R12" s="12"/>
      <c r="S12" s="13" t="s">
        <v>53</v>
      </c>
      <c r="T12" s="13"/>
      <c r="U12" s="10">
        <f t="shared" ref="U12:U43" si="1">IF(LEN(S12)&gt;0,1,0)</f>
        <v>1</v>
      </c>
    </row>
    <row r="13" spans="1:21" ht="64" customHeight="1">
      <c r="A13" s="10" t="s">
        <v>54</v>
      </c>
      <c r="B13" s="10" t="s">
        <v>44</v>
      </c>
      <c r="C13" s="10" t="s">
        <v>55</v>
      </c>
      <c r="D13" s="14" t="s">
        <v>2</v>
      </c>
      <c r="E13" s="10" t="s">
        <v>43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56</v>
      </c>
      <c r="L13" s="10" t="s">
        <v>57</v>
      </c>
      <c r="M13" s="10" t="s">
        <v>58</v>
      </c>
      <c r="N13" s="10" t="s">
        <v>59</v>
      </c>
      <c r="O13" s="10" t="s">
        <v>60</v>
      </c>
      <c r="P13" s="10" t="s">
        <v>61</v>
      </c>
      <c r="Q13" s="10" t="s">
        <v>52</v>
      </c>
      <c r="R13" s="10" t="s">
        <v>62</v>
      </c>
      <c r="S13" s="14" t="s">
        <v>63</v>
      </c>
      <c r="T13" s="14"/>
      <c r="U13" s="10">
        <f t="shared" si="1"/>
        <v>1</v>
      </c>
    </row>
    <row r="14" spans="1:21" ht="64" customHeight="1">
      <c r="A14" s="11" t="s">
        <v>64</v>
      </c>
      <c r="B14" s="11" t="s">
        <v>44</v>
      </c>
      <c r="C14" s="11" t="s">
        <v>65</v>
      </c>
      <c r="D14" s="14" t="s">
        <v>2</v>
      </c>
      <c r="E14" s="11" t="s">
        <v>43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66</v>
      </c>
      <c r="L14" s="11" t="s">
        <v>67</v>
      </c>
      <c r="M14" s="11" t="s">
        <v>68</v>
      </c>
      <c r="N14" s="11" t="s">
        <v>69</v>
      </c>
      <c r="O14" s="11" t="s">
        <v>70</v>
      </c>
      <c r="P14" s="11" t="s">
        <v>71</v>
      </c>
      <c r="Q14" s="11" t="s">
        <v>52</v>
      </c>
      <c r="R14" s="11"/>
      <c r="S14" s="14" t="s">
        <v>72</v>
      </c>
      <c r="T14" s="14"/>
      <c r="U14" s="10">
        <f t="shared" si="1"/>
        <v>1</v>
      </c>
    </row>
    <row r="15" spans="1:21" ht="64" customHeight="1">
      <c r="A15" s="10" t="s">
        <v>73</v>
      </c>
      <c r="B15" s="10" t="s">
        <v>44</v>
      </c>
      <c r="C15" s="10" t="s">
        <v>74</v>
      </c>
      <c r="D15" s="14" t="s">
        <v>2</v>
      </c>
      <c r="E15" s="10" t="s">
        <v>54</v>
      </c>
      <c r="F15" s="10" t="s">
        <v>64</v>
      </c>
      <c r="G15" s="10" t="str">
        <f t="shared" si="0"/>
        <v>Done</v>
      </c>
      <c r="H15" s="18">
        <v>4</v>
      </c>
      <c r="I15" s="14"/>
      <c r="J15" s="16"/>
      <c r="K15" s="10" t="s">
        <v>75</v>
      </c>
      <c r="L15" s="10" t="s">
        <v>76</v>
      </c>
      <c r="M15" s="10" t="s">
        <v>77</v>
      </c>
      <c r="N15" s="10" t="s">
        <v>78</v>
      </c>
      <c r="O15" s="10" t="s">
        <v>79</v>
      </c>
      <c r="P15" s="10" t="s">
        <v>80</v>
      </c>
      <c r="Q15" s="10" t="s">
        <v>52</v>
      </c>
      <c r="R15" s="10"/>
      <c r="S15" s="14" t="s">
        <v>81</v>
      </c>
      <c r="T15" s="14"/>
      <c r="U15" s="10">
        <f t="shared" si="1"/>
        <v>1</v>
      </c>
    </row>
    <row r="16" spans="1:21" ht="64" customHeight="1">
      <c r="A16" s="11" t="s">
        <v>82</v>
      </c>
      <c r="B16" s="11" t="s">
        <v>44</v>
      </c>
      <c r="C16" s="11" t="s">
        <v>83</v>
      </c>
      <c r="D16" s="14" t="s">
        <v>2</v>
      </c>
      <c r="E16" s="11" t="s">
        <v>64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84</v>
      </c>
      <c r="L16" s="11" t="s">
        <v>85</v>
      </c>
      <c r="M16" s="11" t="s">
        <v>86</v>
      </c>
      <c r="N16" s="11" t="s">
        <v>87</v>
      </c>
      <c r="O16" s="11" t="s">
        <v>88</v>
      </c>
      <c r="P16" s="11" t="s">
        <v>89</v>
      </c>
      <c r="Q16" s="11" t="s">
        <v>52</v>
      </c>
      <c r="R16" s="11"/>
      <c r="S16" s="14" t="s">
        <v>90</v>
      </c>
      <c r="T16" s="14"/>
      <c r="U16" s="10">
        <f t="shared" si="1"/>
        <v>1</v>
      </c>
    </row>
    <row r="17" spans="1:21" ht="64" customHeight="1">
      <c r="A17" s="10" t="s">
        <v>91</v>
      </c>
      <c r="B17" s="10" t="s">
        <v>44</v>
      </c>
      <c r="C17" s="10" t="s">
        <v>92</v>
      </c>
      <c r="D17" s="14" t="s">
        <v>2</v>
      </c>
      <c r="E17" s="10" t="s">
        <v>54</v>
      </c>
      <c r="F17" s="10" t="s">
        <v>73</v>
      </c>
      <c r="G17" s="10" t="str">
        <f t="shared" si="0"/>
        <v>Done</v>
      </c>
      <c r="H17" s="18">
        <v>4</v>
      </c>
      <c r="I17" s="14"/>
      <c r="J17" s="16"/>
      <c r="K17" s="10" t="s">
        <v>93</v>
      </c>
      <c r="L17" s="10" t="s">
        <v>94</v>
      </c>
      <c r="M17" s="10" t="s">
        <v>95</v>
      </c>
      <c r="N17" s="10" t="s">
        <v>96</v>
      </c>
      <c r="O17" s="10" t="s">
        <v>97</v>
      </c>
      <c r="P17" s="10" t="s">
        <v>98</v>
      </c>
      <c r="Q17" s="10" t="s">
        <v>52</v>
      </c>
      <c r="R17" s="10"/>
      <c r="S17" s="14" t="s">
        <v>99</v>
      </c>
      <c r="T17" s="14"/>
      <c r="U17" s="10">
        <f t="shared" si="1"/>
        <v>1</v>
      </c>
    </row>
    <row r="18" spans="1:21" ht="64" customHeight="1">
      <c r="A18" s="12" t="s">
        <v>100</v>
      </c>
      <c r="B18" s="12" t="s">
        <v>101</v>
      </c>
      <c r="C18" s="12" t="s">
        <v>102</v>
      </c>
      <c r="D18" s="13" t="s">
        <v>2</v>
      </c>
      <c r="E18" s="12" t="s">
        <v>91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103</v>
      </c>
      <c r="L18" s="12" t="s">
        <v>104</v>
      </c>
      <c r="M18" s="12" t="s">
        <v>105</v>
      </c>
      <c r="N18" s="12" t="s">
        <v>106</v>
      </c>
      <c r="O18" s="12" t="s">
        <v>107</v>
      </c>
      <c r="P18" s="12" t="s">
        <v>108</v>
      </c>
      <c r="Q18" s="12" t="s">
        <v>52</v>
      </c>
      <c r="R18" s="12" t="s">
        <v>109</v>
      </c>
      <c r="S18" s="13" t="s">
        <v>110</v>
      </c>
      <c r="T18" s="13"/>
      <c r="U18" s="10">
        <f t="shared" si="1"/>
        <v>1</v>
      </c>
    </row>
    <row r="19" spans="1:21" ht="64" customHeight="1">
      <c r="A19" s="10" t="s">
        <v>111</v>
      </c>
      <c r="B19" s="10" t="s">
        <v>101</v>
      </c>
      <c r="C19" s="10" t="s">
        <v>112</v>
      </c>
      <c r="D19" s="14" t="s">
        <v>2</v>
      </c>
      <c r="E19" s="10" t="s">
        <v>100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113</v>
      </c>
      <c r="L19" s="10" t="s">
        <v>114</v>
      </c>
      <c r="M19" s="10" t="s">
        <v>115</v>
      </c>
      <c r="N19" s="10" t="s">
        <v>116</v>
      </c>
      <c r="O19" s="10" t="s">
        <v>117</v>
      </c>
      <c r="P19" s="10" t="s">
        <v>118</v>
      </c>
      <c r="Q19" s="10" t="s">
        <v>52</v>
      </c>
      <c r="R19" s="10"/>
      <c r="S19" s="14" t="s">
        <v>119</v>
      </c>
      <c r="T19" s="14"/>
      <c r="U19" s="10">
        <f t="shared" si="1"/>
        <v>1</v>
      </c>
    </row>
    <row r="20" spans="1:21" ht="64" customHeight="1">
      <c r="A20" s="11" t="s">
        <v>120</v>
      </c>
      <c r="B20" s="11" t="s">
        <v>101</v>
      </c>
      <c r="C20" s="11" t="s">
        <v>121</v>
      </c>
      <c r="D20" s="14" t="s">
        <v>2</v>
      </c>
      <c r="E20" s="11" t="s">
        <v>54</v>
      </c>
      <c r="F20" s="11" t="s">
        <v>111</v>
      </c>
      <c r="G20" s="11" t="str">
        <f t="shared" si="0"/>
        <v>Done</v>
      </c>
      <c r="H20" s="18">
        <v>5</v>
      </c>
      <c r="I20" s="14"/>
      <c r="J20" s="16"/>
      <c r="K20" s="11" t="s">
        <v>122</v>
      </c>
      <c r="L20" s="11" t="s">
        <v>123</v>
      </c>
      <c r="M20" s="11" t="s">
        <v>124</v>
      </c>
      <c r="N20" s="11" t="s">
        <v>125</v>
      </c>
      <c r="O20" s="11" t="s">
        <v>126</v>
      </c>
      <c r="P20" s="11" t="s">
        <v>127</v>
      </c>
      <c r="Q20" s="11" t="s">
        <v>52</v>
      </c>
      <c r="R20" s="11"/>
      <c r="S20" s="14" t="s">
        <v>128</v>
      </c>
      <c r="T20" s="14"/>
      <c r="U20" s="10">
        <f t="shared" si="1"/>
        <v>1</v>
      </c>
    </row>
    <row r="21" spans="1:21" ht="64" customHeight="1">
      <c r="A21" s="10" t="s">
        <v>129</v>
      </c>
      <c r="B21" s="10" t="s">
        <v>101</v>
      </c>
      <c r="C21" s="10" t="s">
        <v>130</v>
      </c>
      <c r="D21" s="14" t="s">
        <v>2</v>
      </c>
      <c r="E21" s="10" t="s">
        <v>120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131</v>
      </c>
      <c r="L21" s="10" t="s">
        <v>132</v>
      </c>
      <c r="M21" s="10" t="s">
        <v>133</v>
      </c>
      <c r="N21" s="10" t="s">
        <v>134</v>
      </c>
      <c r="O21" s="10" t="s">
        <v>135</v>
      </c>
      <c r="P21" s="10" t="s">
        <v>136</v>
      </c>
      <c r="Q21" s="10" t="s">
        <v>52</v>
      </c>
      <c r="R21" s="10"/>
      <c r="S21" s="14" t="s">
        <v>137</v>
      </c>
      <c r="T21" s="14"/>
      <c r="U21" s="10">
        <f t="shared" si="1"/>
        <v>1</v>
      </c>
    </row>
    <row r="22" spans="1:21" ht="64" customHeight="1">
      <c r="A22" s="11" t="s">
        <v>138</v>
      </c>
      <c r="B22" s="11" t="s">
        <v>101</v>
      </c>
      <c r="C22" s="11" t="s">
        <v>139</v>
      </c>
      <c r="D22" s="14" t="s">
        <v>2</v>
      </c>
      <c r="E22" s="11" t="s">
        <v>129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140</v>
      </c>
      <c r="L22" s="11" t="s">
        <v>141</v>
      </c>
      <c r="M22" s="11" t="s">
        <v>142</v>
      </c>
      <c r="N22" s="11" t="s">
        <v>143</v>
      </c>
      <c r="O22" s="11" t="s">
        <v>144</v>
      </c>
      <c r="P22" s="11" t="s">
        <v>145</v>
      </c>
      <c r="Q22" s="11" t="s">
        <v>52</v>
      </c>
      <c r="R22" s="11"/>
      <c r="S22" s="14" t="s">
        <v>146</v>
      </c>
      <c r="T22" s="14"/>
      <c r="U22" s="10">
        <f t="shared" si="1"/>
        <v>1</v>
      </c>
    </row>
    <row r="23" spans="1:21" ht="64" customHeight="1">
      <c r="A23" s="10" t="s">
        <v>147</v>
      </c>
      <c r="B23" s="10" t="s">
        <v>101</v>
      </c>
      <c r="C23" s="10" t="s">
        <v>148</v>
      </c>
      <c r="D23" s="14" t="s">
        <v>2</v>
      </c>
      <c r="E23" s="10" t="s">
        <v>138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149</v>
      </c>
      <c r="L23" s="10" t="s">
        <v>150</v>
      </c>
      <c r="M23" s="10" t="s">
        <v>151</v>
      </c>
      <c r="N23" s="10" t="s">
        <v>152</v>
      </c>
      <c r="O23" s="10" t="s">
        <v>153</v>
      </c>
      <c r="P23" s="10" t="s">
        <v>154</v>
      </c>
      <c r="Q23" s="10" t="s">
        <v>52</v>
      </c>
      <c r="R23" s="10"/>
      <c r="S23" s="14" t="s">
        <v>155</v>
      </c>
      <c r="T23" s="14"/>
      <c r="U23" s="10">
        <f t="shared" si="1"/>
        <v>1</v>
      </c>
    </row>
    <row r="24" spans="1:21" ht="64" customHeight="1">
      <c r="A24" s="12" t="s">
        <v>156</v>
      </c>
      <c r="B24" s="12" t="s">
        <v>157</v>
      </c>
      <c r="C24" s="12" t="s">
        <v>158</v>
      </c>
      <c r="D24" s="13" t="s">
        <v>2</v>
      </c>
      <c r="E24" s="12" t="s">
        <v>147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159</v>
      </c>
      <c r="L24" s="12" t="s">
        <v>160</v>
      </c>
      <c r="M24" s="12" t="s">
        <v>161</v>
      </c>
      <c r="N24" s="12" t="s">
        <v>162</v>
      </c>
      <c r="O24" s="12" t="s">
        <v>163</v>
      </c>
      <c r="P24" s="12" t="s">
        <v>164</v>
      </c>
      <c r="Q24" s="12" t="s">
        <v>52</v>
      </c>
      <c r="R24" s="12"/>
      <c r="S24" s="13" t="s">
        <v>165</v>
      </c>
      <c r="T24" s="13"/>
      <c r="U24" s="10">
        <f t="shared" si="1"/>
        <v>1</v>
      </c>
    </row>
    <row r="25" spans="1:21" ht="64" customHeight="1">
      <c r="A25" s="10" t="s">
        <v>166</v>
      </c>
      <c r="B25" s="10" t="s">
        <v>157</v>
      </c>
      <c r="C25" s="10" t="s">
        <v>167</v>
      </c>
      <c r="D25" s="14" t="s">
        <v>2</v>
      </c>
      <c r="E25" s="10" t="s">
        <v>156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168</v>
      </c>
      <c r="L25" s="10" t="s">
        <v>169</v>
      </c>
      <c r="M25" s="10" t="s">
        <v>170</v>
      </c>
      <c r="N25" s="10" t="s">
        <v>171</v>
      </c>
      <c r="O25" s="10" t="s">
        <v>172</v>
      </c>
      <c r="P25" s="10" t="s">
        <v>173</v>
      </c>
      <c r="Q25" s="10" t="s">
        <v>52</v>
      </c>
      <c r="R25" s="10"/>
      <c r="S25" s="14" t="s">
        <v>174</v>
      </c>
      <c r="T25" s="14" t="s">
        <v>175</v>
      </c>
      <c r="U25" s="10">
        <f t="shared" si="1"/>
        <v>1</v>
      </c>
    </row>
    <row r="26" spans="1:21" ht="64" customHeight="1">
      <c r="A26" s="11" t="s">
        <v>176</v>
      </c>
      <c r="B26" s="11" t="s">
        <v>157</v>
      </c>
      <c r="C26" s="11" t="s">
        <v>177</v>
      </c>
      <c r="D26" s="14" t="s">
        <v>2</v>
      </c>
      <c r="E26" s="11" t="s">
        <v>166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178</v>
      </c>
      <c r="L26" s="11" t="s">
        <v>179</v>
      </c>
      <c r="M26" s="11" t="s">
        <v>180</v>
      </c>
      <c r="N26" s="11" t="s">
        <v>181</v>
      </c>
      <c r="O26" s="11" t="s">
        <v>182</v>
      </c>
      <c r="P26" s="11" t="s">
        <v>183</v>
      </c>
      <c r="Q26" s="11" t="s">
        <v>52</v>
      </c>
      <c r="R26" s="11" t="s">
        <v>184</v>
      </c>
      <c r="S26" s="14" t="s">
        <v>185</v>
      </c>
      <c r="T26" s="14"/>
      <c r="U26" s="10">
        <f t="shared" si="1"/>
        <v>1</v>
      </c>
    </row>
    <row r="27" spans="1:21" ht="64" customHeight="1">
      <c r="A27" s="10" t="s">
        <v>186</v>
      </c>
      <c r="B27" s="10" t="s">
        <v>157</v>
      </c>
      <c r="C27" s="10" t="s">
        <v>187</v>
      </c>
      <c r="D27" s="14" t="s">
        <v>2</v>
      </c>
      <c r="E27" s="10" t="s">
        <v>176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188</v>
      </c>
      <c r="L27" s="10" t="s">
        <v>189</v>
      </c>
      <c r="M27" s="10" t="s">
        <v>190</v>
      </c>
      <c r="N27" s="10" t="s">
        <v>191</v>
      </c>
      <c r="O27" s="10" t="s">
        <v>192</v>
      </c>
      <c r="P27" s="10" t="s">
        <v>193</v>
      </c>
      <c r="Q27" s="10" t="s">
        <v>52</v>
      </c>
      <c r="R27" s="10"/>
      <c r="S27" s="14" t="s">
        <v>194</v>
      </c>
      <c r="T27" s="14" t="s">
        <v>195</v>
      </c>
      <c r="U27" s="10">
        <f t="shared" si="1"/>
        <v>1</v>
      </c>
    </row>
    <row r="28" spans="1:21" ht="64" customHeight="1">
      <c r="A28" s="11" t="s">
        <v>196</v>
      </c>
      <c r="B28" s="11" t="s">
        <v>157</v>
      </c>
      <c r="C28" s="11" t="s">
        <v>197</v>
      </c>
      <c r="D28" s="14" t="s">
        <v>2</v>
      </c>
      <c r="E28" s="11" t="s">
        <v>186</v>
      </c>
      <c r="F28" s="11" t="s">
        <v>82</v>
      </c>
      <c r="G28" s="11" t="str">
        <f t="shared" si="0"/>
        <v>Done</v>
      </c>
      <c r="H28" s="18">
        <v>4</v>
      </c>
      <c r="I28" s="14"/>
      <c r="J28" s="16"/>
      <c r="K28" s="11" t="s">
        <v>198</v>
      </c>
      <c r="L28" s="11" t="s">
        <v>199</v>
      </c>
      <c r="M28" s="11" t="s">
        <v>200</v>
      </c>
      <c r="N28" s="11" t="s">
        <v>201</v>
      </c>
      <c r="O28" s="11" t="s">
        <v>202</v>
      </c>
      <c r="P28" s="11" t="s">
        <v>203</v>
      </c>
      <c r="Q28" s="11" t="s">
        <v>52</v>
      </c>
      <c r="R28" s="11"/>
      <c r="S28" s="14" t="s">
        <v>204</v>
      </c>
      <c r="T28" s="14"/>
      <c r="U28" s="10">
        <f t="shared" si="1"/>
        <v>1</v>
      </c>
    </row>
    <row r="29" spans="1:21" ht="64" customHeight="1">
      <c r="A29" s="10" t="s">
        <v>205</v>
      </c>
      <c r="B29" s="10" t="s">
        <v>157</v>
      </c>
      <c r="C29" s="10" t="s">
        <v>206</v>
      </c>
      <c r="D29" s="14" t="s">
        <v>2</v>
      </c>
      <c r="E29" s="10" t="s">
        <v>196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207</v>
      </c>
      <c r="L29" s="10" t="s">
        <v>208</v>
      </c>
      <c r="M29" s="10" t="s">
        <v>209</v>
      </c>
      <c r="N29" s="10" t="s">
        <v>210</v>
      </c>
      <c r="O29" s="10" t="s">
        <v>211</v>
      </c>
      <c r="P29" s="10" t="s">
        <v>212</v>
      </c>
      <c r="Q29" s="10" t="s">
        <v>52</v>
      </c>
      <c r="R29" s="10"/>
      <c r="S29" s="14" t="s">
        <v>213</v>
      </c>
      <c r="T29" s="14"/>
      <c r="U29" s="10">
        <f t="shared" si="1"/>
        <v>1</v>
      </c>
    </row>
    <row r="30" spans="1:21" ht="64" customHeight="1">
      <c r="A30" s="12" t="s">
        <v>214</v>
      </c>
      <c r="B30" s="12" t="s">
        <v>215</v>
      </c>
      <c r="C30" s="12" t="s">
        <v>216</v>
      </c>
      <c r="D30" s="13" t="s">
        <v>2</v>
      </c>
      <c r="E30" s="12" t="s">
        <v>205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217</v>
      </c>
      <c r="L30" s="12" t="s">
        <v>218</v>
      </c>
      <c r="M30" s="12" t="s">
        <v>219</v>
      </c>
      <c r="N30" s="12" t="s">
        <v>220</v>
      </c>
      <c r="O30" s="12" t="s">
        <v>221</v>
      </c>
      <c r="P30" s="12" t="s">
        <v>222</v>
      </c>
      <c r="Q30" s="12" t="s">
        <v>52</v>
      </c>
      <c r="R30" s="12"/>
      <c r="S30" s="13" t="s">
        <v>223</v>
      </c>
      <c r="T30" s="13"/>
      <c r="U30" s="10">
        <f t="shared" si="1"/>
        <v>1</v>
      </c>
    </row>
    <row r="31" spans="1:21" ht="64" customHeight="1">
      <c r="A31" s="10" t="s">
        <v>224</v>
      </c>
      <c r="B31" s="10" t="s">
        <v>215</v>
      </c>
      <c r="C31" s="10" t="s">
        <v>225</v>
      </c>
      <c r="D31" s="14" t="s">
        <v>2</v>
      </c>
      <c r="E31" s="10" t="s">
        <v>214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226</v>
      </c>
      <c r="L31" s="10" t="s">
        <v>227</v>
      </c>
      <c r="M31" s="10" t="s">
        <v>228</v>
      </c>
      <c r="N31" s="10" t="s">
        <v>229</v>
      </c>
      <c r="O31" s="10" t="s">
        <v>230</v>
      </c>
      <c r="P31" s="10" t="s">
        <v>231</v>
      </c>
      <c r="Q31" s="10" t="s">
        <v>52</v>
      </c>
      <c r="R31" s="10" t="s">
        <v>232</v>
      </c>
      <c r="S31" s="14" t="s">
        <v>233</v>
      </c>
      <c r="T31" s="14"/>
      <c r="U31" s="10">
        <f t="shared" si="1"/>
        <v>1</v>
      </c>
    </row>
    <row r="32" spans="1:21" ht="64" customHeight="1">
      <c r="A32" s="11" t="s">
        <v>234</v>
      </c>
      <c r="B32" s="11" t="s">
        <v>215</v>
      </c>
      <c r="C32" s="11" t="s">
        <v>235</v>
      </c>
      <c r="D32" s="14" t="s">
        <v>2</v>
      </c>
      <c r="E32" s="11" t="s">
        <v>224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236</v>
      </c>
      <c r="L32" s="11" t="s">
        <v>237</v>
      </c>
      <c r="M32" s="11" t="s">
        <v>238</v>
      </c>
      <c r="N32" s="11" t="s">
        <v>239</v>
      </c>
      <c r="O32" s="11" t="s">
        <v>240</v>
      </c>
      <c r="P32" s="11" t="s">
        <v>241</v>
      </c>
      <c r="Q32" s="11" t="s">
        <v>52</v>
      </c>
      <c r="R32" s="11"/>
      <c r="S32" s="14" t="s">
        <v>242</v>
      </c>
      <c r="T32" s="14" t="s">
        <v>243</v>
      </c>
      <c r="U32" s="10">
        <f t="shared" si="1"/>
        <v>1</v>
      </c>
    </row>
    <row r="33" spans="1:21" ht="64" customHeight="1">
      <c r="A33" s="10" t="s">
        <v>244</v>
      </c>
      <c r="B33" s="10" t="s">
        <v>215</v>
      </c>
      <c r="C33" s="10" t="s">
        <v>245</v>
      </c>
      <c r="D33" s="14" t="s">
        <v>2</v>
      </c>
      <c r="E33" s="10" t="s">
        <v>234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246</v>
      </c>
      <c r="L33" s="10" t="s">
        <v>247</v>
      </c>
      <c r="M33" s="10" t="s">
        <v>248</v>
      </c>
      <c r="N33" s="10" t="s">
        <v>249</v>
      </c>
      <c r="O33" s="10" t="s">
        <v>250</v>
      </c>
      <c r="P33" s="10" t="s">
        <v>251</v>
      </c>
      <c r="Q33" s="10" t="s">
        <v>52</v>
      </c>
      <c r="R33" s="10" t="s">
        <v>184</v>
      </c>
      <c r="S33" s="14" t="s">
        <v>252</v>
      </c>
      <c r="T33" s="14" t="s">
        <v>253</v>
      </c>
      <c r="U33" s="10">
        <f t="shared" si="1"/>
        <v>1</v>
      </c>
    </row>
    <row r="34" spans="1:21" ht="64" customHeight="1">
      <c r="A34" s="11" t="s">
        <v>254</v>
      </c>
      <c r="B34" s="11" t="s">
        <v>215</v>
      </c>
      <c r="C34" s="11" t="s">
        <v>255</v>
      </c>
      <c r="D34" s="14" t="s">
        <v>2</v>
      </c>
      <c r="E34" s="11" t="s">
        <v>244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256</v>
      </c>
      <c r="L34" s="11" t="s">
        <v>257</v>
      </c>
      <c r="M34" s="11" t="s">
        <v>258</v>
      </c>
      <c r="N34" s="11" t="s">
        <v>259</v>
      </c>
      <c r="O34" s="11" t="s">
        <v>260</v>
      </c>
      <c r="P34" s="11" t="s">
        <v>261</v>
      </c>
      <c r="Q34" s="11" t="s">
        <v>52</v>
      </c>
      <c r="R34" s="11"/>
      <c r="S34" s="14" t="s">
        <v>262</v>
      </c>
      <c r="T34" s="14" t="s">
        <v>263</v>
      </c>
      <c r="U34" s="10">
        <f t="shared" si="1"/>
        <v>1</v>
      </c>
    </row>
    <row r="35" spans="1:21" ht="64" customHeight="1">
      <c r="A35" s="10" t="s">
        <v>264</v>
      </c>
      <c r="B35" s="10" t="s">
        <v>215</v>
      </c>
      <c r="C35" s="10" t="s">
        <v>265</v>
      </c>
      <c r="D35" s="14" t="s">
        <v>2</v>
      </c>
      <c r="E35" s="10" t="s">
        <v>254</v>
      </c>
      <c r="F35" s="10" t="s">
        <v>186</v>
      </c>
      <c r="G35" s="10" t="str">
        <f t="shared" si="0"/>
        <v>Done</v>
      </c>
      <c r="H35" s="18">
        <v>4</v>
      </c>
      <c r="I35" s="14"/>
      <c r="J35" s="16"/>
      <c r="K35" s="10" t="s">
        <v>266</v>
      </c>
      <c r="L35" s="10" t="s">
        <v>267</v>
      </c>
      <c r="M35" s="10" t="s">
        <v>268</v>
      </c>
      <c r="N35" s="10" t="s">
        <v>269</v>
      </c>
      <c r="O35" s="10" t="s">
        <v>270</v>
      </c>
      <c r="P35" s="10" t="s">
        <v>271</v>
      </c>
      <c r="Q35" s="10" t="s">
        <v>52</v>
      </c>
      <c r="R35" s="10"/>
      <c r="S35" s="14" t="s">
        <v>272</v>
      </c>
      <c r="T35" s="14" t="s">
        <v>273</v>
      </c>
      <c r="U35" s="10">
        <f t="shared" si="1"/>
        <v>1</v>
      </c>
    </row>
    <row r="36" spans="1:21" ht="64" customHeight="1">
      <c r="A36" s="12" t="s">
        <v>274</v>
      </c>
      <c r="B36" s="12" t="s">
        <v>275</v>
      </c>
      <c r="C36" s="12" t="s">
        <v>276</v>
      </c>
      <c r="D36" s="13" t="s">
        <v>2</v>
      </c>
      <c r="E36" s="12" t="s">
        <v>264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277</v>
      </c>
      <c r="L36" s="12" t="s">
        <v>278</v>
      </c>
      <c r="M36" s="12" t="s">
        <v>279</v>
      </c>
      <c r="N36" s="12" t="s">
        <v>280</v>
      </c>
      <c r="O36" s="12" t="s">
        <v>281</v>
      </c>
      <c r="P36" s="12" t="s">
        <v>282</v>
      </c>
      <c r="Q36" s="12" t="s">
        <v>52</v>
      </c>
      <c r="R36" s="12"/>
      <c r="S36" s="13" t="s">
        <v>283</v>
      </c>
      <c r="T36" s="13" t="s">
        <v>284</v>
      </c>
      <c r="U36" s="10">
        <f t="shared" si="1"/>
        <v>1</v>
      </c>
    </row>
    <row r="37" spans="1:21" ht="64" customHeight="1">
      <c r="A37" s="10" t="s">
        <v>285</v>
      </c>
      <c r="B37" s="10" t="s">
        <v>275</v>
      </c>
      <c r="C37" s="10" t="s">
        <v>286</v>
      </c>
      <c r="D37" s="14" t="s">
        <v>2</v>
      </c>
      <c r="E37" s="10" t="s">
        <v>274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287</v>
      </c>
      <c r="L37" s="10" t="s">
        <v>288</v>
      </c>
      <c r="M37" s="10" t="s">
        <v>289</v>
      </c>
      <c r="N37" s="10" t="s">
        <v>290</v>
      </c>
      <c r="O37" s="10" t="s">
        <v>291</v>
      </c>
      <c r="P37" s="10" t="s">
        <v>292</v>
      </c>
      <c r="Q37" s="10" t="s">
        <v>52</v>
      </c>
      <c r="R37" s="10"/>
      <c r="S37" s="14" t="s">
        <v>293</v>
      </c>
      <c r="T37" s="14" t="s">
        <v>294</v>
      </c>
      <c r="U37" s="10">
        <f t="shared" si="1"/>
        <v>1</v>
      </c>
    </row>
    <row r="38" spans="1:21" ht="64" customHeight="1">
      <c r="A38" s="11" t="s">
        <v>295</v>
      </c>
      <c r="B38" s="11" t="s">
        <v>275</v>
      </c>
      <c r="C38" s="11" t="s">
        <v>296</v>
      </c>
      <c r="D38" s="14" t="s">
        <v>297</v>
      </c>
      <c r="E38" s="11" t="s">
        <v>285</v>
      </c>
      <c r="F38" s="11"/>
      <c r="G38" s="11" t="str">
        <f t="shared" si="0"/>
        <v>Ready</v>
      </c>
      <c r="H38" s="18">
        <v>4</v>
      </c>
      <c r="I38" s="14"/>
      <c r="J38" s="16"/>
      <c r="K38" s="11" t="s">
        <v>298</v>
      </c>
      <c r="L38" s="11" t="s">
        <v>299</v>
      </c>
      <c r="M38" s="11" t="s">
        <v>300</v>
      </c>
      <c r="N38" s="11" t="s">
        <v>301</v>
      </c>
      <c r="O38" s="11" t="s">
        <v>302</v>
      </c>
      <c r="P38" s="11" t="s">
        <v>303</v>
      </c>
      <c r="Q38" s="11" t="s">
        <v>52</v>
      </c>
      <c r="R38" s="11"/>
      <c r="S38" s="14"/>
      <c r="T38" s="14"/>
      <c r="U38" s="10">
        <f t="shared" si="1"/>
        <v>0</v>
      </c>
    </row>
    <row r="39" spans="1:21" ht="64" customHeight="1">
      <c r="A39" s="10" t="s">
        <v>304</v>
      </c>
      <c r="B39" s="10" t="s">
        <v>275</v>
      </c>
      <c r="C39" s="10" t="s">
        <v>305</v>
      </c>
      <c r="D39" s="14" t="s">
        <v>297</v>
      </c>
      <c r="E39" s="10" t="s">
        <v>295</v>
      </c>
      <c r="F39" s="10"/>
      <c r="G39" s="10" t="str">
        <f t="shared" si="0"/>
        <v>Waiting</v>
      </c>
      <c r="H39" s="18">
        <v>5</v>
      </c>
      <c r="I39" s="14"/>
      <c r="J39" s="16"/>
      <c r="K39" s="10" t="s">
        <v>306</v>
      </c>
      <c r="L39" s="10" t="s">
        <v>307</v>
      </c>
      <c r="M39" s="10" t="s">
        <v>308</v>
      </c>
      <c r="N39" s="10" t="s">
        <v>309</v>
      </c>
      <c r="O39" s="10" t="s">
        <v>310</v>
      </c>
      <c r="P39" s="10" t="s">
        <v>311</v>
      </c>
      <c r="Q39" s="10" t="s">
        <v>52</v>
      </c>
      <c r="R39" s="10"/>
      <c r="S39" s="14"/>
      <c r="T39" s="14"/>
      <c r="U39" s="10">
        <f t="shared" si="1"/>
        <v>0</v>
      </c>
    </row>
    <row r="40" spans="1:21" ht="64" customHeight="1">
      <c r="A40" s="11" t="s">
        <v>312</v>
      </c>
      <c r="B40" s="11" t="s">
        <v>275</v>
      </c>
      <c r="C40" s="11" t="s">
        <v>313</v>
      </c>
      <c r="D40" s="14" t="s">
        <v>297</v>
      </c>
      <c r="E40" s="11" t="s">
        <v>304</v>
      </c>
      <c r="F40" s="11"/>
      <c r="G40" s="11" t="str">
        <f t="shared" si="0"/>
        <v>Waiting</v>
      </c>
      <c r="H40" s="18">
        <v>6</v>
      </c>
      <c r="I40" s="14"/>
      <c r="J40" s="16"/>
      <c r="K40" s="11" t="s">
        <v>314</v>
      </c>
      <c r="L40" s="11" t="s">
        <v>315</v>
      </c>
      <c r="M40" s="11" t="s">
        <v>316</v>
      </c>
      <c r="N40" s="11" t="s">
        <v>317</v>
      </c>
      <c r="O40" s="11" t="s">
        <v>318</v>
      </c>
      <c r="P40" s="11" t="s">
        <v>319</v>
      </c>
      <c r="Q40" s="11" t="s">
        <v>52</v>
      </c>
      <c r="R40" s="11"/>
      <c r="S40" s="14"/>
      <c r="T40" s="14"/>
      <c r="U40" s="10">
        <f t="shared" si="1"/>
        <v>0</v>
      </c>
    </row>
    <row r="41" spans="1:21" ht="64" customHeight="1">
      <c r="A41" s="10" t="s">
        <v>320</v>
      </c>
      <c r="B41" s="10" t="s">
        <v>275</v>
      </c>
      <c r="C41" s="10" t="s">
        <v>321</v>
      </c>
      <c r="D41" s="14" t="s">
        <v>297</v>
      </c>
      <c r="E41" s="10" t="s">
        <v>312</v>
      </c>
      <c r="F41" s="10"/>
      <c r="G41" s="10" t="str">
        <f t="shared" si="0"/>
        <v>Waiting</v>
      </c>
      <c r="H41" s="18">
        <v>5</v>
      </c>
      <c r="I41" s="14"/>
      <c r="J41" s="16"/>
      <c r="K41" s="10" t="s">
        <v>322</v>
      </c>
      <c r="L41" s="10" t="s">
        <v>323</v>
      </c>
      <c r="M41" s="10" t="s">
        <v>324</v>
      </c>
      <c r="N41" s="10" t="s">
        <v>325</v>
      </c>
      <c r="O41" s="10" t="s">
        <v>326</v>
      </c>
      <c r="P41" s="10" t="s">
        <v>327</v>
      </c>
      <c r="Q41" s="10" t="s">
        <v>52</v>
      </c>
      <c r="R41" s="10"/>
      <c r="S41" s="14"/>
      <c r="T41" s="14"/>
      <c r="U41" s="10">
        <f t="shared" si="1"/>
        <v>0</v>
      </c>
    </row>
    <row r="42" spans="1:21" ht="64" customHeight="1">
      <c r="A42" s="12" t="s">
        <v>328</v>
      </c>
      <c r="B42" s="12" t="s">
        <v>329</v>
      </c>
      <c r="C42" s="12" t="s">
        <v>330</v>
      </c>
      <c r="D42" s="13" t="s">
        <v>297</v>
      </c>
      <c r="E42" s="12" t="s">
        <v>320</v>
      </c>
      <c r="F42" s="12" t="s">
        <v>91</v>
      </c>
      <c r="G42" s="12" t="str">
        <f t="shared" si="0"/>
        <v>Waiting</v>
      </c>
      <c r="H42" s="17">
        <v>5</v>
      </c>
      <c r="I42" s="13"/>
      <c r="J42" s="15"/>
      <c r="K42" s="12" t="s">
        <v>331</v>
      </c>
      <c r="L42" s="12" t="s">
        <v>332</v>
      </c>
      <c r="M42" s="12" t="s">
        <v>333</v>
      </c>
      <c r="N42" s="12" t="s">
        <v>334</v>
      </c>
      <c r="O42" s="12" t="s">
        <v>335</v>
      </c>
      <c r="P42" s="12" t="s">
        <v>336</v>
      </c>
      <c r="Q42" s="12" t="s">
        <v>52</v>
      </c>
      <c r="R42" s="12"/>
      <c r="S42" s="13"/>
      <c r="T42" s="13"/>
      <c r="U42" s="10">
        <f t="shared" si="1"/>
        <v>0</v>
      </c>
    </row>
    <row r="43" spans="1:21" ht="64" customHeight="1">
      <c r="A43" s="10" t="s">
        <v>337</v>
      </c>
      <c r="B43" s="10" t="s">
        <v>329</v>
      </c>
      <c r="C43" s="10" t="s">
        <v>338</v>
      </c>
      <c r="D43" s="14" t="s">
        <v>297</v>
      </c>
      <c r="E43" s="10" t="s">
        <v>328</v>
      </c>
      <c r="F43" s="10" t="s">
        <v>129</v>
      </c>
      <c r="G43" s="10" t="str">
        <f t="shared" si="0"/>
        <v>Waiting</v>
      </c>
      <c r="H43" s="18">
        <v>8</v>
      </c>
      <c r="I43" s="14"/>
      <c r="J43" s="16"/>
      <c r="K43" s="10" t="s">
        <v>339</v>
      </c>
      <c r="L43" s="10" t="s">
        <v>340</v>
      </c>
      <c r="M43" s="10" t="s">
        <v>341</v>
      </c>
      <c r="N43" s="10" t="s">
        <v>342</v>
      </c>
      <c r="O43" s="10" t="s">
        <v>343</v>
      </c>
      <c r="P43" s="10" t="s">
        <v>344</v>
      </c>
      <c r="Q43" s="10" t="s">
        <v>52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345</v>
      </c>
      <c r="B44" s="11" t="s">
        <v>329</v>
      </c>
      <c r="C44" s="11" t="s">
        <v>346</v>
      </c>
      <c r="D44" s="14" t="s">
        <v>297</v>
      </c>
      <c r="E44" s="11" t="s">
        <v>337</v>
      </c>
      <c r="F44" s="11"/>
      <c r="G44" s="11" t="str">
        <f t="shared" ref="G44:G75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347</v>
      </c>
      <c r="L44" s="11" t="s">
        <v>348</v>
      </c>
      <c r="M44" s="11" t="s">
        <v>349</v>
      </c>
      <c r="N44" s="11" t="s">
        <v>350</v>
      </c>
      <c r="O44" s="11" t="s">
        <v>351</v>
      </c>
      <c r="P44" s="11" t="s">
        <v>352</v>
      </c>
      <c r="Q44" s="11" t="s">
        <v>52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353</v>
      </c>
      <c r="B45" s="10" t="s">
        <v>329</v>
      </c>
      <c r="C45" s="10" t="s">
        <v>354</v>
      </c>
      <c r="D45" s="14" t="s">
        <v>297</v>
      </c>
      <c r="E45" s="10" t="s">
        <v>345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355</v>
      </c>
      <c r="L45" s="10" t="s">
        <v>356</v>
      </c>
      <c r="M45" s="10" t="s">
        <v>357</v>
      </c>
      <c r="N45" s="10" t="s">
        <v>358</v>
      </c>
      <c r="O45" s="10" t="s">
        <v>359</v>
      </c>
      <c r="P45" s="10" t="s">
        <v>360</v>
      </c>
      <c r="Q45" s="10" t="s">
        <v>52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361</v>
      </c>
      <c r="B46" s="11" t="s">
        <v>329</v>
      </c>
      <c r="C46" s="11" t="s">
        <v>362</v>
      </c>
      <c r="D46" s="14" t="s">
        <v>297</v>
      </c>
      <c r="E46" s="11" t="s">
        <v>353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363</v>
      </c>
      <c r="L46" s="11" t="s">
        <v>364</v>
      </c>
      <c r="M46" s="11" t="s">
        <v>365</v>
      </c>
      <c r="N46" s="11" t="s">
        <v>366</v>
      </c>
      <c r="O46" s="11" t="s">
        <v>367</v>
      </c>
      <c r="P46" s="11" t="s">
        <v>368</v>
      </c>
      <c r="Q46" s="11" t="s">
        <v>52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369</v>
      </c>
      <c r="B47" s="10" t="s">
        <v>329</v>
      </c>
      <c r="C47" s="10" t="s">
        <v>370</v>
      </c>
      <c r="D47" s="14" t="s">
        <v>297</v>
      </c>
      <c r="E47" s="10" t="s">
        <v>361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371</v>
      </c>
      <c r="L47" s="10" t="s">
        <v>372</v>
      </c>
      <c r="M47" s="10" t="s">
        <v>373</v>
      </c>
      <c r="N47" s="10" t="s">
        <v>374</v>
      </c>
      <c r="O47" s="10" t="s">
        <v>375</v>
      </c>
      <c r="P47" s="10" t="s">
        <v>376</v>
      </c>
      <c r="Q47" s="10" t="s">
        <v>52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377</v>
      </c>
      <c r="B48" s="12" t="s">
        <v>378</v>
      </c>
      <c r="C48" s="12" t="s">
        <v>379</v>
      </c>
      <c r="D48" s="13" t="s">
        <v>297</v>
      </c>
      <c r="E48" s="12" t="s">
        <v>369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380</v>
      </c>
      <c r="L48" s="12" t="s">
        <v>381</v>
      </c>
      <c r="M48" s="12" t="s">
        <v>382</v>
      </c>
      <c r="N48" s="12" t="s">
        <v>383</v>
      </c>
      <c r="O48" s="12" t="s">
        <v>384</v>
      </c>
      <c r="P48" s="12" t="s">
        <v>385</v>
      </c>
      <c r="Q48" s="12" t="s">
        <v>52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386</v>
      </c>
      <c r="B49" s="10" t="s">
        <v>378</v>
      </c>
      <c r="C49" s="10" t="s">
        <v>387</v>
      </c>
      <c r="D49" s="14" t="s">
        <v>297</v>
      </c>
      <c r="E49" s="10" t="s">
        <v>377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388</v>
      </c>
      <c r="L49" s="10" t="s">
        <v>389</v>
      </c>
      <c r="M49" s="10" t="s">
        <v>390</v>
      </c>
      <c r="N49" s="10" t="s">
        <v>391</v>
      </c>
      <c r="O49" s="10" t="s">
        <v>392</v>
      </c>
      <c r="P49" s="10" t="s">
        <v>393</v>
      </c>
      <c r="Q49" s="10" t="s">
        <v>52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394</v>
      </c>
      <c r="B50" s="11" t="s">
        <v>378</v>
      </c>
      <c r="C50" s="11" t="s">
        <v>395</v>
      </c>
      <c r="D50" s="14" t="s">
        <v>297</v>
      </c>
      <c r="E50" s="11" t="s">
        <v>386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396</v>
      </c>
      <c r="L50" s="11" t="s">
        <v>397</v>
      </c>
      <c r="M50" s="11" t="s">
        <v>398</v>
      </c>
      <c r="N50" s="11" t="s">
        <v>399</v>
      </c>
      <c r="O50" s="11" t="s">
        <v>400</v>
      </c>
      <c r="P50" s="11" t="s">
        <v>401</v>
      </c>
      <c r="Q50" s="11" t="s">
        <v>52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402</v>
      </c>
      <c r="B51" s="10" t="s">
        <v>378</v>
      </c>
      <c r="C51" s="10" t="s">
        <v>403</v>
      </c>
      <c r="D51" s="14" t="s">
        <v>297</v>
      </c>
      <c r="E51" s="10" t="s">
        <v>394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404</v>
      </c>
      <c r="L51" s="10" t="s">
        <v>405</v>
      </c>
      <c r="M51" s="10" t="s">
        <v>406</v>
      </c>
      <c r="N51" s="10" t="s">
        <v>407</v>
      </c>
      <c r="O51" s="10" t="s">
        <v>408</v>
      </c>
      <c r="P51" s="10" t="s">
        <v>409</v>
      </c>
      <c r="Q51" s="10" t="s">
        <v>52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410</v>
      </c>
      <c r="B52" s="11" t="s">
        <v>378</v>
      </c>
      <c r="C52" s="11" t="s">
        <v>411</v>
      </c>
      <c r="D52" s="14" t="s">
        <v>297</v>
      </c>
      <c r="E52" s="11" t="s">
        <v>402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412</v>
      </c>
      <c r="L52" s="11" t="s">
        <v>413</v>
      </c>
      <c r="M52" s="11" t="s">
        <v>414</v>
      </c>
      <c r="N52" s="11" t="s">
        <v>415</v>
      </c>
      <c r="O52" s="11" t="s">
        <v>416</v>
      </c>
      <c r="P52" s="11" t="s">
        <v>417</v>
      </c>
      <c r="Q52" s="11" t="s">
        <v>52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418</v>
      </c>
      <c r="B53" s="10" t="s">
        <v>378</v>
      </c>
      <c r="C53" s="10" t="s">
        <v>419</v>
      </c>
      <c r="D53" s="14" t="s">
        <v>297</v>
      </c>
      <c r="E53" s="10" t="s">
        <v>410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420</v>
      </c>
      <c r="L53" s="10" t="s">
        <v>421</v>
      </c>
      <c r="M53" s="10" t="s">
        <v>422</v>
      </c>
      <c r="N53" s="10" t="s">
        <v>423</v>
      </c>
      <c r="O53" s="10" t="s">
        <v>424</v>
      </c>
      <c r="P53" s="10" t="s">
        <v>425</v>
      </c>
      <c r="Q53" s="10" t="s">
        <v>52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426</v>
      </c>
      <c r="B54" s="12" t="s">
        <v>427</v>
      </c>
      <c r="C54" s="12" t="s">
        <v>428</v>
      </c>
      <c r="D54" s="13" t="s">
        <v>297</v>
      </c>
      <c r="E54" s="12" t="s">
        <v>369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429</v>
      </c>
      <c r="L54" s="12" t="s">
        <v>430</v>
      </c>
      <c r="M54" s="12" t="s">
        <v>431</v>
      </c>
      <c r="N54" s="12" t="s">
        <v>432</v>
      </c>
      <c r="O54" s="12" t="s">
        <v>433</v>
      </c>
      <c r="P54" s="12" t="s">
        <v>434</v>
      </c>
      <c r="Q54" s="12" t="s">
        <v>52</v>
      </c>
      <c r="R54" s="12" t="s">
        <v>62</v>
      </c>
      <c r="S54" s="13"/>
      <c r="T54" s="13"/>
      <c r="U54" s="10">
        <f t="shared" si="3"/>
        <v>0</v>
      </c>
    </row>
    <row r="55" spans="1:21" ht="64" customHeight="1">
      <c r="A55" s="10" t="s">
        <v>435</v>
      </c>
      <c r="B55" s="10" t="s">
        <v>427</v>
      </c>
      <c r="C55" s="10" t="s">
        <v>436</v>
      </c>
      <c r="D55" s="14" t="s">
        <v>297</v>
      </c>
      <c r="E55" s="10" t="s">
        <v>426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437</v>
      </c>
      <c r="L55" s="10" t="s">
        <v>438</v>
      </c>
      <c r="M55" s="10" t="s">
        <v>439</v>
      </c>
      <c r="N55" s="10" t="s">
        <v>440</v>
      </c>
      <c r="O55" s="10" t="s">
        <v>441</v>
      </c>
      <c r="P55" s="10" t="s">
        <v>442</v>
      </c>
      <c r="Q55" s="10" t="s">
        <v>52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443</v>
      </c>
      <c r="B56" s="11" t="s">
        <v>427</v>
      </c>
      <c r="C56" s="11" t="s">
        <v>444</v>
      </c>
      <c r="D56" s="14" t="s">
        <v>297</v>
      </c>
      <c r="E56" s="11" t="s">
        <v>435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445</v>
      </c>
      <c r="L56" s="11" t="s">
        <v>446</v>
      </c>
      <c r="M56" s="11" t="s">
        <v>447</v>
      </c>
      <c r="N56" s="11" t="s">
        <v>448</v>
      </c>
      <c r="O56" s="11" t="s">
        <v>449</v>
      </c>
      <c r="P56" s="11" t="s">
        <v>450</v>
      </c>
      <c r="Q56" s="11" t="s">
        <v>52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451</v>
      </c>
      <c r="B57" s="10" t="s">
        <v>427</v>
      </c>
      <c r="C57" s="10" t="s">
        <v>452</v>
      </c>
      <c r="D57" s="14" t="s">
        <v>297</v>
      </c>
      <c r="E57" s="10" t="s">
        <v>443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453</v>
      </c>
      <c r="L57" s="10" t="s">
        <v>454</v>
      </c>
      <c r="M57" s="10" t="s">
        <v>455</v>
      </c>
      <c r="N57" s="10" t="s">
        <v>456</v>
      </c>
      <c r="O57" s="10" t="s">
        <v>457</v>
      </c>
      <c r="P57" s="10" t="s">
        <v>458</v>
      </c>
      <c r="Q57" s="10" t="s">
        <v>52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459</v>
      </c>
      <c r="B58" s="11" t="s">
        <v>427</v>
      </c>
      <c r="C58" s="11" t="s">
        <v>460</v>
      </c>
      <c r="D58" s="14" t="s">
        <v>297</v>
      </c>
      <c r="E58" s="11" t="s">
        <v>451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461</v>
      </c>
      <c r="L58" s="11" t="s">
        <v>462</v>
      </c>
      <c r="M58" s="11" t="s">
        <v>463</v>
      </c>
      <c r="N58" s="11" t="s">
        <v>464</v>
      </c>
      <c r="O58" s="11" t="s">
        <v>465</v>
      </c>
      <c r="P58" s="11" t="s">
        <v>466</v>
      </c>
      <c r="Q58" s="11" t="s">
        <v>52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467</v>
      </c>
      <c r="B59" s="10" t="s">
        <v>427</v>
      </c>
      <c r="C59" s="10" t="s">
        <v>468</v>
      </c>
      <c r="D59" s="14" t="s">
        <v>297</v>
      </c>
      <c r="E59" s="10" t="s">
        <v>459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469</v>
      </c>
      <c r="L59" s="10" t="s">
        <v>470</v>
      </c>
      <c r="M59" s="10" t="s">
        <v>471</v>
      </c>
      <c r="N59" s="10" t="s">
        <v>472</v>
      </c>
      <c r="O59" s="10" t="s">
        <v>473</v>
      </c>
      <c r="P59" s="10" t="s">
        <v>474</v>
      </c>
      <c r="Q59" s="10" t="s">
        <v>52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475</v>
      </c>
      <c r="B60" s="12" t="s">
        <v>476</v>
      </c>
      <c r="C60" s="12" t="s">
        <v>477</v>
      </c>
      <c r="D60" s="13" t="s">
        <v>297</v>
      </c>
      <c r="E60" s="12" t="s">
        <v>418</v>
      </c>
      <c r="F60" s="12" t="s">
        <v>467</v>
      </c>
      <c r="G60" s="12" t="str">
        <f t="shared" si="2"/>
        <v>Waiting</v>
      </c>
      <c r="H60" s="17">
        <v>3</v>
      </c>
      <c r="I60" s="13"/>
      <c r="J60" s="15"/>
      <c r="K60" s="12" t="s">
        <v>478</v>
      </c>
      <c r="L60" s="12" t="s">
        <v>479</v>
      </c>
      <c r="M60" s="12" t="s">
        <v>480</v>
      </c>
      <c r="N60" s="12" t="s">
        <v>481</v>
      </c>
      <c r="O60" s="12" t="s">
        <v>482</v>
      </c>
      <c r="P60" s="12" t="s">
        <v>483</v>
      </c>
      <c r="Q60" s="12" t="s">
        <v>52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484</v>
      </c>
      <c r="B61" s="10" t="s">
        <v>476</v>
      </c>
      <c r="C61" s="10" t="s">
        <v>485</v>
      </c>
      <c r="D61" s="14" t="s">
        <v>297</v>
      </c>
      <c r="E61" s="10" t="s">
        <v>475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486</v>
      </c>
      <c r="L61" s="10" t="s">
        <v>487</v>
      </c>
      <c r="M61" s="10" t="s">
        <v>488</v>
      </c>
      <c r="N61" s="10" t="s">
        <v>489</v>
      </c>
      <c r="O61" s="10" t="s">
        <v>490</v>
      </c>
      <c r="P61" s="10" t="s">
        <v>491</v>
      </c>
      <c r="Q61" s="10" t="s">
        <v>52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492</v>
      </c>
      <c r="B62" s="11" t="s">
        <v>476</v>
      </c>
      <c r="C62" s="11" t="s">
        <v>493</v>
      </c>
      <c r="D62" s="14" t="s">
        <v>297</v>
      </c>
      <c r="E62" s="11" t="s">
        <v>484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494</v>
      </c>
      <c r="L62" s="11" t="s">
        <v>495</v>
      </c>
      <c r="M62" s="11" t="s">
        <v>496</v>
      </c>
      <c r="N62" s="11" t="s">
        <v>497</v>
      </c>
      <c r="O62" s="11" t="s">
        <v>498</v>
      </c>
      <c r="P62" s="11" t="s">
        <v>499</v>
      </c>
      <c r="Q62" s="11" t="s">
        <v>52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500</v>
      </c>
      <c r="B63" s="10" t="s">
        <v>476</v>
      </c>
      <c r="C63" s="10" t="s">
        <v>501</v>
      </c>
      <c r="D63" s="14" t="s">
        <v>297</v>
      </c>
      <c r="E63" s="10" t="s">
        <v>492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502</v>
      </c>
      <c r="L63" s="10" t="s">
        <v>503</v>
      </c>
      <c r="M63" s="10" t="s">
        <v>504</v>
      </c>
      <c r="N63" s="10" t="s">
        <v>505</v>
      </c>
      <c r="O63" s="10" t="s">
        <v>506</v>
      </c>
      <c r="P63" s="10" t="s">
        <v>507</v>
      </c>
      <c r="Q63" s="10" t="s">
        <v>52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508</v>
      </c>
      <c r="B64" s="11" t="s">
        <v>476</v>
      </c>
      <c r="C64" s="11" t="s">
        <v>509</v>
      </c>
      <c r="D64" s="14" t="s">
        <v>297</v>
      </c>
      <c r="E64" s="11" t="s">
        <v>500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510</v>
      </c>
      <c r="L64" s="11" t="s">
        <v>511</v>
      </c>
      <c r="M64" s="11" t="s">
        <v>512</v>
      </c>
      <c r="N64" s="11" t="s">
        <v>513</v>
      </c>
      <c r="O64" s="11" t="s">
        <v>514</v>
      </c>
      <c r="P64" s="11" t="s">
        <v>515</v>
      </c>
      <c r="Q64" s="11" t="s">
        <v>52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516</v>
      </c>
      <c r="B65" s="10" t="s">
        <v>476</v>
      </c>
      <c r="C65" s="10" t="s">
        <v>517</v>
      </c>
      <c r="D65" s="14" t="s">
        <v>297</v>
      </c>
      <c r="E65" s="10" t="s">
        <v>508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518</v>
      </c>
      <c r="L65" s="10" t="s">
        <v>519</v>
      </c>
      <c r="M65" s="10" t="s">
        <v>520</v>
      </c>
      <c r="N65" s="10" t="s">
        <v>521</v>
      </c>
      <c r="O65" s="10" t="s">
        <v>522</v>
      </c>
      <c r="P65" s="10" t="s">
        <v>523</v>
      </c>
      <c r="Q65" s="10" t="s">
        <v>52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524</v>
      </c>
      <c r="B66" s="12" t="s">
        <v>525</v>
      </c>
      <c r="C66" s="12" t="s">
        <v>526</v>
      </c>
      <c r="D66" s="13" t="s">
        <v>297</v>
      </c>
      <c r="E66" s="12" t="s">
        <v>516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527</v>
      </c>
      <c r="L66" s="12" t="s">
        <v>528</v>
      </c>
      <c r="M66" s="12" t="s">
        <v>529</v>
      </c>
      <c r="N66" s="12" t="s">
        <v>530</v>
      </c>
      <c r="O66" s="12" t="s">
        <v>531</v>
      </c>
      <c r="P66" s="12" t="s">
        <v>532</v>
      </c>
      <c r="Q66" s="12" t="s">
        <v>533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534</v>
      </c>
      <c r="B67" s="10" t="s">
        <v>525</v>
      </c>
      <c r="C67" s="10" t="s">
        <v>535</v>
      </c>
      <c r="D67" s="14" t="s">
        <v>297</v>
      </c>
      <c r="E67" s="10" t="s">
        <v>516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536</v>
      </c>
      <c r="L67" s="10" t="s">
        <v>537</v>
      </c>
      <c r="M67" s="10" t="s">
        <v>538</v>
      </c>
      <c r="N67" s="10" t="s">
        <v>539</v>
      </c>
      <c r="O67" s="10" t="s">
        <v>540</v>
      </c>
      <c r="P67" s="10" t="s">
        <v>541</v>
      </c>
      <c r="Q67" s="10" t="s">
        <v>533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542</v>
      </c>
      <c r="B68" s="11" t="s">
        <v>525</v>
      </c>
      <c r="C68" s="11" t="s">
        <v>543</v>
      </c>
      <c r="D68" s="14" t="s">
        <v>297</v>
      </c>
      <c r="E68" s="11" t="s">
        <v>516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544</v>
      </c>
      <c r="L68" s="11" t="s">
        <v>545</v>
      </c>
      <c r="M68" s="11" t="s">
        <v>546</v>
      </c>
      <c r="N68" s="11" t="s">
        <v>547</v>
      </c>
      <c r="O68" s="11" t="s">
        <v>548</v>
      </c>
      <c r="P68" s="11" t="s">
        <v>549</v>
      </c>
      <c r="Q68" s="11" t="s">
        <v>533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550</v>
      </c>
      <c r="B69" s="10" t="s">
        <v>525</v>
      </c>
      <c r="C69" s="10" t="s">
        <v>551</v>
      </c>
      <c r="D69" s="14" t="s">
        <v>297</v>
      </c>
      <c r="E69" s="10" t="s">
        <v>516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552</v>
      </c>
      <c r="L69" s="10" t="s">
        <v>553</v>
      </c>
      <c r="M69" s="10" t="s">
        <v>554</v>
      </c>
      <c r="N69" s="10" t="s">
        <v>555</v>
      </c>
      <c r="O69" s="10" t="s">
        <v>556</v>
      </c>
      <c r="P69" s="10" t="s">
        <v>557</v>
      </c>
      <c r="Q69" s="10" t="s">
        <v>533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558</v>
      </c>
      <c r="B70" s="11" t="s">
        <v>525</v>
      </c>
      <c r="C70" s="11" t="s">
        <v>559</v>
      </c>
      <c r="D70" s="14" t="s">
        <v>297</v>
      </c>
      <c r="E70" s="11" t="s">
        <v>516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560</v>
      </c>
      <c r="L70" s="11" t="s">
        <v>561</v>
      </c>
      <c r="M70" s="11" t="s">
        <v>562</v>
      </c>
      <c r="N70" s="11" t="s">
        <v>563</v>
      </c>
      <c r="O70" s="11" t="s">
        <v>564</v>
      </c>
      <c r="P70" s="11" t="s">
        <v>565</v>
      </c>
      <c r="Q70" s="11" t="s">
        <v>533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566</v>
      </c>
      <c r="B71" s="10" t="s">
        <v>525</v>
      </c>
      <c r="C71" s="10" t="s">
        <v>567</v>
      </c>
      <c r="D71" s="14" t="s">
        <v>297</v>
      </c>
      <c r="E71" s="10" t="s">
        <v>524</v>
      </c>
      <c r="F71" s="10" t="s">
        <v>558</v>
      </c>
      <c r="G71" s="10" t="str">
        <f t="shared" si="2"/>
        <v>Waiting</v>
      </c>
      <c r="H71" s="18">
        <v>8</v>
      </c>
      <c r="I71" s="14"/>
      <c r="J71" s="16"/>
      <c r="K71" s="10" t="s">
        <v>568</v>
      </c>
      <c r="L71" s="10" t="s">
        <v>569</v>
      </c>
      <c r="M71" s="10" t="s">
        <v>570</v>
      </c>
      <c r="N71" s="10" t="s">
        <v>571</v>
      </c>
      <c r="O71" s="10" t="s">
        <v>572</v>
      </c>
      <c r="P71" s="10" t="s">
        <v>573</v>
      </c>
      <c r="Q71" s="10" t="s">
        <v>533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574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23</v>
      </c>
      <c r="B78" s="4" t="s">
        <v>1</v>
      </c>
      <c r="C78" s="4" t="s">
        <v>2</v>
      </c>
      <c r="D78" s="4" t="s">
        <v>297</v>
      </c>
      <c r="E78" s="4" t="s">
        <v>575</v>
      </c>
      <c r="F78" s="4" t="s">
        <v>4</v>
      </c>
      <c r="G78" s="4" t="s">
        <v>3</v>
      </c>
      <c r="H78" s="4" t="s">
        <v>5</v>
      </c>
      <c r="I78" s="4" t="s">
        <v>6</v>
      </c>
      <c r="J78" s="4" t="s">
        <v>576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44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101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157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215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275</v>
      </c>
      <c r="B83" s="11">
        <f t="shared" si="4"/>
        <v>6</v>
      </c>
      <c r="C83" s="11">
        <f t="shared" si="5"/>
        <v>2</v>
      </c>
      <c r="D83" s="11">
        <f t="shared" si="6"/>
        <v>4</v>
      </c>
      <c r="E83" s="11">
        <f t="shared" si="7"/>
        <v>0</v>
      </c>
      <c r="F83" s="11">
        <f t="shared" si="8"/>
        <v>0</v>
      </c>
      <c r="G83" s="20">
        <f t="shared" si="9"/>
        <v>0.33333333333333331</v>
      </c>
      <c r="H83" s="11">
        <f t="shared" si="10"/>
        <v>29</v>
      </c>
      <c r="I83" s="11">
        <f t="shared" si="11"/>
        <v>20</v>
      </c>
      <c r="J83" s="11">
        <f t="shared" si="12"/>
        <v>1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329</v>
      </c>
      <c r="B84" s="10">
        <f t="shared" si="4"/>
        <v>6</v>
      </c>
      <c r="C84" s="10">
        <f t="shared" si="5"/>
        <v>0</v>
      </c>
      <c r="D84" s="10">
        <f t="shared" si="6"/>
        <v>6</v>
      </c>
      <c r="E84" s="10">
        <f t="shared" si="7"/>
        <v>0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378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427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476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525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577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578</v>
      </c>
      <c r="C93" s="10" t="s">
        <v>579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580</v>
      </c>
      <c r="C94" s="10" t="s">
        <v>581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582</v>
      </c>
      <c r="C95" s="10" t="s">
        <v>583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584</v>
      </c>
      <c r="C96" s="10" t="s">
        <v>585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586</v>
      </c>
      <c r="C97" s="10" t="s">
        <v>587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588</v>
      </c>
      <c r="C98" s="10" t="s">
        <v>589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590</v>
      </c>
      <c r="C99" s="10" t="s">
        <v>591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592</v>
      </c>
      <c r="C100" s="10" t="s">
        <v>593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594</v>
      </c>
      <c r="C101" s="10" t="s">
        <v>595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596</v>
      </c>
      <c r="C102" s="10" t="s">
        <v>597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598</v>
      </c>
      <c r="C103" s="10" t="s">
        <v>599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600</v>
      </c>
      <c r="C104" s="10" t="s">
        <v>601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602</v>
      </c>
      <c r="C105" s="10" t="s">
        <v>603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604</v>
      </c>
      <c r="C106" s="10" t="s">
        <v>605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606</v>
      </c>
      <c r="C107" s="10" t="s">
        <v>607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608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609</v>
      </c>
      <c r="C112" s="10" t="s">
        <v>610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611</v>
      </c>
      <c r="C113" s="10" t="s">
        <v>612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613</v>
      </c>
      <c r="C114" s="10" t="s">
        <v>614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615</v>
      </c>
      <c r="C115" s="10" t="s">
        <v>616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617</v>
      </c>
      <c r="C116" s="10" t="s">
        <v>618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619</v>
      </c>
      <c r="C117" s="10" t="s">
        <v>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621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622</v>
      </c>
      <c r="B122" s="4" t="s">
        <v>623</v>
      </c>
      <c r="C122" s="4" t="s">
        <v>578</v>
      </c>
      <c r="D122" s="4" t="s">
        <v>39</v>
      </c>
      <c r="E122" s="4" t="s">
        <v>624</v>
      </c>
      <c r="F122" s="4" t="s">
        <v>625</v>
      </c>
      <c r="G122" s="4" t="s">
        <v>626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627</v>
      </c>
      <c r="B123" s="11" t="s">
        <v>628</v>
      </c>
      <c r="C123" s="11" t="s">
        <v>629</v>
      </c>
      <c r="D123" s="11" t="s">
        <v>109</v>
      </c>
      <c r="E123" s="11" t="s">
        <v>630</v>
      </c>
      <c r="F123" s="11" t="s">
        <v>631</v>
      </c>
      <c r="G123" s="11" t="s">
        <v>632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633</v>
      </c>
      <c r="B124" s="10" t="s">
        <v>634</v>
      </c>
      <c r="C124" s="10" t="s">
        <v>635</v>
      </c>
      <c r="D124" s="10" t="s">
        <v>109</v>
      </c>
      <c r="E124" s="10" t="s">
        <v>636</v>
      </c>
      <c r="F124" s="10" t="s">
        <v>637</v>
      </c>
      <c r="G124" s="10" t="s">
        <v>638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639</v>
      </c>
      <c r="B125" s="11" t="s">
        <v>640</v>
      </c>
      <c r="C125" s="11" t="s">
        <v>641</v>
      </c>
      <c r="D125" s="11" t="s">
        <v>232</v>
      </c>
      <c r="E125" s="11" t="s">
        <v>642</v>
      </c>
      <c r="F125" s="11" t="s">
        <v>643</v>
      </c>
      <c r="G125" s="11" t="s">
        <v>644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645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646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647</v>
      </c>
      <c r="B130" s="4" t="s">
        <v>648</v>
      </c>
      <c r="C130" s="4" t="s">
        <v>649</v>
      </c>
      <c r="D130" s="4" t="s">
        <v>650</v>
      </c>
      <c r="E130" s="4" t="s">
        <v>651</v>
      </c>
      <c r="F130" s="4" t="s">
        <v>652</v>
      </c>
      <c r="G130" s="4" t="s">
        <v>653</v>
      </c>
      <c r="H130" s="4" t="s">
        <v>654</v>
      </c>
      <c r="I130" s="4" t="s">
        <v>655</v>
      </c>
      <c r="J130" s="4" t="s">
        <v>656</v>
      </c>
      <c r="K130" s="4" t="s">
        <v>657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658</v>
      </c>
      <c r="B131" s="11" t="s">
        <v>659</v>
      </c>
      <c r="C131" s="11" t="s">
        <v>660</v>
      </c>
      <c r="D131" s="11" t="s">
        <v>661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662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663</v>
      </c>
      <c r="B132" s="10" t="s">
        <v>664</v>
      </c>
      <c r="C132" s="10" t="s">
        <v>665</v>
      </c>
      <c r="D132" s="10" t="s">
        <v>666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667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668</v>
      </c>
      <c r="B133" s="11" t="s">
        <v>669</v>
      </c>
      <c r="C133" s="11" t="s">
        <v>670</v>
      </c>
      <c r="D133" s="11" t="s">
        <v>666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671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672</v>
      </c>
      <c r="B134" s="10" t="s">
        <v>673</v>
      </c>
      <c r="C134" s="10" t="s">
        <v>674</v>
      </c>
      <c r="D134" s="10" t="s">
        <v>661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675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676</v>
      </c>
      <c r="B135" s="11" t="s">
        <v>677</v>
      </c>
      <c r="C135" s="11" t="s">
        <v>678</v>
      </c>
      <c r="D135" s="11" t="s">
        <v>661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679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680</v>
      </c>
      <c r="B136" s="10" t="s">
        <v>681</v>
      </c>
      <c r="C136" s="10" t="s">
        <v>682</v>
      </c>
      <c r="D136" s="10" t="s">
        <v>666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683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684</v>
      </c>
      <c r="B137" s="11" t="s">
        <v>685</v>
      </c>
      <c r="C137" s="11" t="s">
        <v>686</v>
      </c>
      <c r="D137" s="11" t="s">
        <v>666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687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688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689</v>
      </c>
      <c r="B143" s="4" t="s">
        <v>690</v>
      </c>
      <c r="C143" s="4" t="s">
        <v>691</v>
      </c>
      <c r="D143" s="4" t="s">
        <v>25</v>
      </c>
      <c r="E143" s="4" t="s">
        <v>692</v>
      </c>
      <c r="F143" s="4" t="s">
        <v>693</v>
      </c>
      <c r="G143" s="4" t="s">
        <v>694</v>
      </c>
      <c r="H143" s="4" t="s">
        <v>695</v>
      </c>
      <c r="I143" s="4" t="s">
        <v>696</v>
      </c>
      <c r="J143" s="4" t="s">
        <v>697</v>
      </c>
      <c r="K143" s="4" t="s">
        <v>698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699</v>
      </c>
      <c r="B144" s="11" t="s">
        <v>700</v>
      </c>
      <c r="C144" s="11" t="s">
        <v>701</v>
      </c>
      <c r="D144" s="14" t="s">
        <v>297</v>
      </c>
      <c r="E144" s="14"/>
      <c r="F144" s="14"/>
      <c r="G144" s="14"/>
      <c r="H144" s="14"/>
      <c r="I144" s="14"/>
      <c r="J144" s="16"/>
      <c r="K144" s="11" t="s">
        <v>702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703</v>
      </c>
      <c r="B145" s="10" t="s">
        <v>704</v>
      </c>
      <c r="C145" s="10" t="s">
        <v>705</v>
      </c>
      <c r="D145" s="14" t="s">
        <v>297</v>
      </c>
      <c r="E145" s="14"/>
      <c r="F145" s="14"/>
      <c r="G145" s="14"/>
      <c r="H145" s="14"/>
      <c r="I145" s="14"/>
      <c r="J145" s="16"/>
      <c r="K145" s="10" t="s">
        <v>706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707</v>
      </c>
      <c r="B146" s="11" t="s">
        <v>708</v>
      </c>
      <c r="C146" s="11" t="s">
        <v>709</v>
      </c>
      <c r="D146" s="14" t="s">
        <v>297</v>
      </c>
      <c r="E146" s="14"/>
      <c r="F146" s="14"/>
      <c r="G146" s="14"/>
      <c r="H146" s="14"/>
      <c r="I146" s="14"/>
      <c r="J146" s="16"/>
      <c r="K146" s="11" t="s">
        <v>710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711</v>
      </c>
      <c r="B147" s="10" t="s">
        <v>712</v>
      </c>
      <c r="C147" s="10" t="s">
        <v>713</v>
      </c>
      <c r="D147" s="14" t="s">
        <v>297</v>
      </c>
      <c r="E147" s="14"/>
      <c r="F147" s="14"/>
      <c r="G147" s="14"/>
      <c r="H147" s="14"/>
      <c r="I147" s="14"/>
      <c r="J147" s="16"/>
      <c r="K147" s="10" t="s">
        <v>714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715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716</v>
      </c>
      <c r="B152" s="4" t="s">
        <v>717</v>
      </c>
      <c r="C152" s="4" t="s">
        <v>718</v>
      </c>
      <c r="D152" s="4" t="s">
        <v>30</v>
      </c>
      <c r="E152" s="4" t="s">
        <v>25</v>
      </c>
      <c r="F152" s="4" t="s">
        <v>719</v>
      </c>
      <c r="G152" s="4" t="s">
        <v>720</v>
      </c>
      <c r="H152" s="4" t="s">
        <v>721</v>
      </c>
      <c r="I152" s="4" t="s">
        <v>722</v>
      </c>
      <c r="J152" s="4" t="s">
        <v>723</v>
      </c>
      <c r="K152" s="4" t="s">
        <v>724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725</v>
      </c>
      <c r="B153" s="11" t="s">
        <v>726</v>
      </c>
      <c r="C153" s="11" t="s">
        <v>727</v>
      </c>
      <c r="D153" s="14"/>
      <c r="E153" s="14"/>
      <c r="F153" s="14"/>
      <c r="G153" s="14"/>
      <c r="H153" s="14"/>
      <c r="I153" s="16"/>
      <c r="J153" s="14"/>
      <c r="K153" s="11" t="s">
        <v>728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729</v>
      </c>
      <c r="B154" s="10" t="s">
        <v>730</v>
      </c>
      <c r="C154" s="10" t="s">
        <v>731</v>
      </c>
      <c r="D154" s="14"/>
      <c r="E154" s="14"/>
      <c r="F154" s="14"/>
      <c r="G154" s="14"/>
      <c r="H154" s="14"/>
      <c r="I154" s="16"/>
      <c r="J154" s="14"/>
      <c r="K154" s="10" t="s">
        <v>732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733</v>
      </c>
      <c r="B155" s="11" t="s">
        <v>734</v>
      </c>
      <c r="C155" s="11" t="s">
        <v>735</v>
      </c>
      <c r="D155" s="14"/>
      <c r="E155" s="14"/>
      <c r="F155" s="14"/>
      <c r="G155" s="14"/>
      <c r="H155" s="14"/>
      <c r="I155" s="16"/>
      <c r="J155" s="14"/>
      <c r="K155" s="11" t="s">
        <v>736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737</v>
      </c>
      <c r="B156" s="10" t="s">
        <v>738</v>
      </c>
      <c r="C156" s="10" t="s">
        <v>739</v>
      </c>
      <c r="D156" s="14"/>
      <c r="E156" s="14"/>
      <c r="F156" s="14"/>
      <c r="G156" s="14"/>
      <c r="H156" s="14"/>
      <c r="I156" s="16"/>
      <c r="J156" s="14"/>
      <c r="K156" s="10" t="s">
        <v>740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741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742</v>
      </c>
      <c r="B161" s="4" t="s">
        <v>743</v>
      </c>
      <c r="C161" s="4" t="s">
        <v>744</v>
      </c>
      <c r="D161" s="4" t="s">
        <v>745</v>
      </c>
      <c r="E161" s="4" t="s">
        <v>746</v>
      </c>
      <c r="F161" s="4" t="s">
        <v>747</v>
      </c>
      <c r="G161" s="4" t="s">
        <v>748</v>
      </c>
      <c r="H161" s="4" t="s">
        <v>749</v>
      </c>
      <c r="I161" s="4" t="s">
        <v>30</v>
      </c>
      <c r="J161" s="4" t="s">
        <v>750</v>
      </c>
      <c r="K161" s="4" t="s">
        <v>751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109</v>
      </c>
      <c r="B162" s="11" t="s">
        <v>752</v>
      </c>
      <c r="C162" s="11" t="s">
        <v>753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754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232</v>
      </c>
      <c r="B163" s="10" t="s">
        <v>755</v>
      </c>
      <c r="C163" s="10" t="s">
        <v>756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757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184</v>
      </c>
      <c r="B164" s="11" t="s">
        <v>758</v>
      </c>
      <c r="C164" s="11" t="s">
        <v>759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760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761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2026-10-15T18:32:27Z</dcterms:modified>
</cp:coreProperties>
</file>