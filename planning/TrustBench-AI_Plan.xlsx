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0C837CAF-0C70-204B-B06E-FEC29727D3F5}"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<sst xmlns="http://schemas.openxmlformats.org/spreadsheetml/2006/main" count="1269" uniqueCount="925">
  <si>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</si>
  <si>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</si>
  <si>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</si>
  <si>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</si>
  <si>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</si>
  <si>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</si>
  <si>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</si>
  <si>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</si>
  <si>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</si>
  <si>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</si>
  <si>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</si>
  <si>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</si>
  <si>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</si>
  <si>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</si>
  <si>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</si>
  <si>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</si>
  <si>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</si>
  <si>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</si>
  <si>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</si>
  <si>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</si>
  <si>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</si>
  <si>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</si>
  <si>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</si>
  <si>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</si>
  <si>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</si>
  <si>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</si>
  <si>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</si>
  <si>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</si>
  <si>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</si>
  <si>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</si>
  <si>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</si>
  <si>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</si>
  <si>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</si>
  <si>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</si>
  <si>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</si>
  <si>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</si>
  <si>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</si>
  <si>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</si>
  <si>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</si>
  <si>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</si>
  <si>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</si>
  <si>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</si>
  <si>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</si>
  <si>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</si>
  <si>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</si>
  <si>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</si>
  <si>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</si>
  <si>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</si>
  <si>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</si>
  <si>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</si>
  <si>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</si>
  <si>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</si>
  <si>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</si>
  <si>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</si>
  <si>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</si>
  <si>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</si>
  <si>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</si>
  <si>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</si>
  <si>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</si>
  <si>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</si>
  <si>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</si>
  <si>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</si>
  <si>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</si>
  <si>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</si>
  <si>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</si>
  <si>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</si>
  <si>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</si>
  <si>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</si>
  <si>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</si>
  <si>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</si>
  <si>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</si>
  <si>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</si>
  <si>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</si>
  <si>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</si>
  <si>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</si>
  <si>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</si>
  <si>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</si>
  <si>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</si>
  <si>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</si>
  <si>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</si>
  <si>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</si>
  <si>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</si>
  <si>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</si>
  <si>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</si>
  <si>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</si>
  <si>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</si>
  <si>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</si>
  <si>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</si>
  <si>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</si>
  <si>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</si>
  <si>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</si>
  <si>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</si>
  <si>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</si>
  <si>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</si>
  <si>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</si>
  <si>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</si>
  <si>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</si>
  <si>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</si>
  <si>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</si>
  <si>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</si>
  <si>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</si>
  <si>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</si>
  <si>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</si>
  <si>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</si>
  <si>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</si>
  <si>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</si>
  <si>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</si>
  <si>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</si>
  <si>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</si>
  <si>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</si>
  <si>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</si>
  <si>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</si>
  <si>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</si>
  <si>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</si>
  <si>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</si>
  <si>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</si>
  <si>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</si>
  <si>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</si>
  <si>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</si>
  <si>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</si>
  <si>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</si>
  <si>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</si>
  <si>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</si>
  <si>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</si>
  <si>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</si>
  <si>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</si>
  <si>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</si>
  <si>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</si>
  <si>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</si>
  <si>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</si>
  <si>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</si>
  <si>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</si>
  <si>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</si>
  <si>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</si>
  <si>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</si>
  <si>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</si>
  <si>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</si>
  <si>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</si>
  <si>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</si>
  <si>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</si>
  <si>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</si>
  <si>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</si>
  <si>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</si>
  <si>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</si>
  <si>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</si>
  <si>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</si>
  <si>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</si>
  <si>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</si>
  <si>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</si>
  <si>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</si>
  <si>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</si>
  <si>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</si>
  <si>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</si>
  <si>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</si>
  <si>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</si>
  <si>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</si>
  <si>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</si>
  <si>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</si>
  <si>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</si>
  <si>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</si>
  <si>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</si>
  <si>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</si>
  <si>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</si>
  <si>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</si>
  <si>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</si>
  <si>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</si>
  <si>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</si>
  <si>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</si>
  <si>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</si>
  <si>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</si>
  <si>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</si>
  <si>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</si>
  <si>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</si>
  <si>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</si>
  <si>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</si>
  <si>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</si>
  <si>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</si>
  <si>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</si>
  <si>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</si>
  <si>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</si>
  <si>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</si>
  <si>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</si>
  <si>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</si>
  <si>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</si>
  <si>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</si>
  <si>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</si>
  <si>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</si>
  <si>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</si>
  <si>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</si>
  <si>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</si>
  <si>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</si>
  <si>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</si>
  <si>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</si>
  <si>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</si>
  <si>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</si>
  <si>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</si>
  <si>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</si>
  <si>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</si>
  <si>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</si>
  <si>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</si>
  <si>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</si>
  <si>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</si>
  <si>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</si>
  <si>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</si>
  <si>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</si>
  <si>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</si>
  <si>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</si>
  <si>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</si>
  <si>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</si>
  <si>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</si>
  <si>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</si>
  <si>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</si>
  <si>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</si>
  <si>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</si>
  <si>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</si>
  <si>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</si>
  <si>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</si>
  <si>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</si>
  <si>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</si>
  <si>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</si>
  <si>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</si>
  <si>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</si>
  <si>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</si>
  <si>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</si>
  <si>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</si>
  <si>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</si>
  <si>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</si>
  <si>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</si>
  <si>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</si>
  <si>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</si>
  <si>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</si>
  <si>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</si>
  <si>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</si>
  <si>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</si>
  <si>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</si>
  <si>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</si>
  <si>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</si>
  <si>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</si>
  <si>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</si>
  <si>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</si>
  <si>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</si>
  <si>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</si>
  <si>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</si>
  <si>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</si>
  <si>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</si>
  <si>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</si>
  <si>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</si>
  <si>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</si>
  <si>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</si>
  <si>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</si>
  <si>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</si>
  <si>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</si>
  <si>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</si>
  <si>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</si>
  <si>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</si>
  <si>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</si>
  <si>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</si>
  <si>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</si>
  <si>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</si>
  <si>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</si>
  <si>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</si>
  <si>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</si>
  <si>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</si>
  <si>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</si>
  <si>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</si>
  <si>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</si>
  <si>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</si>
  <si>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</si>
  <si>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</si>
  <si>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</si>
  <si>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</si>
  <si>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</si>
  <si>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</si>
  <si>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</si>
  <si>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</si>
  <si>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</si>
  <si>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</si>
  <si>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</si>
  <si>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</si>
  <si>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</si>
  <si>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</si>
  <si>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</si>
  <si>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</si>
  <si>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</si>
  <si>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</si>
  <si>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</si>
  <si>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</si>
  <si>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</si>
  <si>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</si>
  <si>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</si>
  <si>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</si>
  <si>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</si>
  <si>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</si>
  <si>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</si>
  <si>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</si>
  <si>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</si>
  <si>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</si>
  <si>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</si>
  <si>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</si>
  <si>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</si>
  <si>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</si>
  <si>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</si>
  <si>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</si>
  <si>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</si>
  <si>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</si>
  <si>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</si>
  <si>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</si>
  <si>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</si>
  <si>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</si>
  <si>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</si>
  <si>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</si>
  <si>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</si>
  <si>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</si>
  <si>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</si>
  <si>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</si>
  <si>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</si>
  <si>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</si>
  <si>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</si>
  <si>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</si>
  <si>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</si>
  <si>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</si>
  <si>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</si>
  <si>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</si>
  <si>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</si>
  <si>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</si>
  <si>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</si>
  <si>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</si>
  <si>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</si>
  <si>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</si>
  <si>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</si>
  <si>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</si>
  <si>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</si>
  <si>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</si>
  <si>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</si>
  <si>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</si>
  <si>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</si>
  <si>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</si>
  <si>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</si>
  <si>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</si>
  <si>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</si>
  <si>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</si>
  <si>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</si>
  <si>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</si>
  <si>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</si>
  <si>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</si>
  <si>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</si>
  <si>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</si>
  <si>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</si>
  <si>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</si>
  <si>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</si>
  <si>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</si>
  <si>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</si>
  <si>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</si>
  <si>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</si>
  <si>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</si>
  <si>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</si>
  <si>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</si>
  <si>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</si>
  <si>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</si>
  <si>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</si>
  <si>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</si>
  <si>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</si>
  <si>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</si>
  <si>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</si>
  <si>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</si>
  <si>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</si>
  <si>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</si>
  <si>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</si>
  <si>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</si>
  <si>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</si>
  <si>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</si>
  <si>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</si>
  <si>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</si>
  <si>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</si>
  <si>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</si>
  <si>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</si>
  <si>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</si>
  <si>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</si>
  <si>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</si>
  <si>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</si>
  <si>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</si>
  <si>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</si>
  <si>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</si>
  <si>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</si>
  <si>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</si>
  <si>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</si>
  <si>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</si>
  <si>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</si>
  <si>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</si>
  <si>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</si>
  <si>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</si>
  <si>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</si>
  <si>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</si>
  <si>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</si>
  <si>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</si>
  <si>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</si>
  <si>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</si>
  <si>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</si>
  <si>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</si>
  <si>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</si>
  <si>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</si>
  <si>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</si>
  <si>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</si>
  <si>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</si>
  <si>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</si>
  <si>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</si>
  <si>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</si>
  <si>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</si>
  <si>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</si>
  <si>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</si>
  <si>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</si>
  <si>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</si>
  <si>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</si>
  <si>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</si>
  <si>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</si>
  <si>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</si>
  <si>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</si>
  <si>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</si>
  <si>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</si>
  <si>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</si>
  <si>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</si>
  <si>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</si>
  <si>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</si>
  <si>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</si>
  <si>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</si>
  <si>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</si>
  <si>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</si>
  <si>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</si>
  <si>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</si>
  <si>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</si>
  <si>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</si>
  <si>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</si>
  <si>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</si>
  <si>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</si>
  <si>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</si>
  <si>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</si>
  <si>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</si>
  <si>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</si>
  <si>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</si>
  <si>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</si>
  <si>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</si>
  <si>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</si>
  <si>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</si>
  <si>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</si>
  <si>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</si>
  <si>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</si>
  <si>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</si>
  <si>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</si>
  <si>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</si>
  <si>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</si>
  <si>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</si>
  <si>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</si>
  <si>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</si>
  <si>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</si>
  <si>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</si>
  <si>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</si>
  <si>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</si>
  <si>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</si>
  <si>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</si>
  <si>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</si>
  <si>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</si>
  <si>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</si>
  <si>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</si>
  <si>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</si>
  <si>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</si>
  <si>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</si>
  <si>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</si>
  <si>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</si>
  <si>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</si>
  <si>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</si>
  <si>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</si>
  <si>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</si>
  <si>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</si>
  <si>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</si>
  <si>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</si>
  <si>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</si>
  <si>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</si>
  <si>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</si>
  <si>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</si>
  <si>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</si>
  <si>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</si>
  <si>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</si>
  <si>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</si>
  <si>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</si>
  <si>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</si>
  <si>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</si>
  <si>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</si>
  <si>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</si>
  <si>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</si>
  <si>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</si>
  <si>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</si>
  <si>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</si>
  <si>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</si>
  <si>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</si>
  <si>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</si>
  <si>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</si>
  <si>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</si>
  <si>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</si>
  <si>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</si>
  <si>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</si>
  <si>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</si>
  <si>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</si>
  <si>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</si>
  <si>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</si>
  <si>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</si>
  <si>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</si>
  <si>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</si>
  <si>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</si>
  <si>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</si>
  <si>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</si>
  <si>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</si>
  <si>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</si>
  <si>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</si>
  <si>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</si>
  <si>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</si>
  <si>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</si>
  <si>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</si>
  <si>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</si>
  <si>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</si>
  <si>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</si>
  <si>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</si>
  <si>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</si>
  <si>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</si>
  <si>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</si>
  <si>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</si>
  <si>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</si>
  <si>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</si>
  <si>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</si>
  <si>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</si>
  <si>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</si>
  <si>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</si>
  <si>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</si>
  <si>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</si>
  <si>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</si>
  <si>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</si>
  <si>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</si>
  <si>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</si>
  <si>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</si>
  <si>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</si>
  <si>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</si>
  <si>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</si>
  <si>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</si>
  <si>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</si>
  <si>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</si>
  <si>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</si>
  <si>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</si>
  <si>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</si>
  <si>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</si>
  <si>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</si>
  <si>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</si>
  <si>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</si>
  <si>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</si>
  <si>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</si>
  <si>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</si>
  <si>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</si>
  <si>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</si>
  <si>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</si>
  <si>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</si>
  <si>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</si>
  <si>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</si>
  <si>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</si>
  <si>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</si>
  <si>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</si>
  <si>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</si>
  <si>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</si>
  <si>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</si>
  <si>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</si>
  <si>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</si>
  <si>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</si>
  <si>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</si>
  <si>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</si>
  <si>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</si>
  <si>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</si>
  <si>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</si>
  <si>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</si>
  <si>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</si>
  <si>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</si>
  <si>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</si>
  <si>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</si>
  <si>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</si>
  <si>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</si>
  <si>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</si>
  <si>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</si>
  <si>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</si>
  <si>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</si>
  <si>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</si>
  <si>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</si>
  <si>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</si>
  <si>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</si>
  <si>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</si>
  <si>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</si>
  <si>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</si>
  <si>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</si>
  <si>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</si>
  <si>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</si>
  <si>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</si>
  <si>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</si>
  <si>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</si>
  <si>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</si>
  <si>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</si>
  <si>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</si>
  <si>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</si>
  <si>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</si>
  <si>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</si>
  <si>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</si>
  <si>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</si>
  <si>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</si>
  <si>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</si>
  <si>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</si>
  <si>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</si>
  <si>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</si>
  <si>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</si>
  <si>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</si>
  <si>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</si>
  <si>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</si>
  <si>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</si>
  <si>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</si>
  <si>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</si>
  <si>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</si>
  <si>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</si>
  <si>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</si>
  <si>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</si>
  <si>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</si>
  <si>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</si>
  <si>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</si>
  <si>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</si>
  <si>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</si>
  <si>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</si>
  <si>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</si>
  <si>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</si>
  <si>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</si>
  <si>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</si>
  <si>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</si>
  <si>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</si>
  <si>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</si>
  <si>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</si>
  <si>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</si>
  <si>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</si>
  <si>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</si>
  <si>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</si>
  <si>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</si>
  <si>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</si>
  <si>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</si>
  <si>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</si>
  <si>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</si>
  <si>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</si>
  <si>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</si>
  <si>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</si>
  <si>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</si>
  <si>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</si>
  <si>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</si>
  <si>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</si>
  <si>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</si>
  <si>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</si>
  <si>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</si>
  <si>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</si>
  <si>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</si>
  <si>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</si>
  <si>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</si>
  <si>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</si>
  <si>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</si>
  <si>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</si>
  <si>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</si>
  <si>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</si>
  <si>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</si>
  <si>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</si>
  <si>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</si>
  <si>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</si>
  <si>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</si>
  <si>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</si>
  <si>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</si>
  <si>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</si>
  <si>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</si>
  <si>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</si>
  <si>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</si>
  <si>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</si>
  <si>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</si>
  <si>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</si>
  <si>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</si>
  <si>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</si>
  <si>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</si>
  <si>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</si>
  <si>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</si>
  <si>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</si>
  <si>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</si>
  <si>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</si>
  <si>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</si>
  <si>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</si>
  <si>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</si>
  <si>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</si>
  <si>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</si>
  <si>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</si>
  <si>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</si>
  <si>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</si>
  <si>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</si>
  <si>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</si>
  <si>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</si>
  <si>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</si>
  <si>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</si>
  <si>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</si>
  <si>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</si>
  <si>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</si>
  <si>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</si>
  <si>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</si>
  <si>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</si>
  <si>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</si>
  <si>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</si>
  <si>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</si>
  <si>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</si>
  <si>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</si>
  <si>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</si>
  <si>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</si>
  <si>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</si>
  <si>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</si>
  <si>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</si>
  <si>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</si>
  <si>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</si>
  <si>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</si>
  <si>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</si>
  <si>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</si>
  <si>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</si>
  <si>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</si>
  <si>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</si>
  <si>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</si>
  <si>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</si>
  <si>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</si>
  <si>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</si>
  <si>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</si>
  <si>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</si>
  <si>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</si>
  <si>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</si>
  <si>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</si>
  <si>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</si>
  <si>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</si>
  <si>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</si>
  <si>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</si>
  <si>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</si>
  <si>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</si>
  <si>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</si>
  <si>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</si>
  <si>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</si>
  <si>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</si>
  <si>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</si>
  <si>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</si>
  <si>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</si>
  <si>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</si>
  <si>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</si>
  <si>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</si>
  <si>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</si>
  <si>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</si>
  <si>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</si>
  <si>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</si>
  <si>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</si>
  <si>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</si>
  <si>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</si>
  <si>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</si>
  <si>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</si>
  <si>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</si>
  <si>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</si>
  <si>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</si>
  <si>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</si>
  <si>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</si>
  <si>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</si>
  <si>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</si>
  <si>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</si>
  <si>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</si>
  <si>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</si>
  <si>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</si>
  <si>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</si>
  <si>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</si>
  <si>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</si>
  <si>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</si>
  <si>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</si>
  <si>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</si>
  <si>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</si>
  <si>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</si>
  <si>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</si>
  <si>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</si>
  <si>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</si>
  <si>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</si>
  <si>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</si>
  <si>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</si>
  <si>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</si>
  <si>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</si>
  <si>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</si>
  <si>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</si>
  <si>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</si>
  <si>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</si>
  <si>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</si>
  <si>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</si>
  <si>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</si>
  <si>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</si>
  <si>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</si>
  <si>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</si>
  <si>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</si>
  <si>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</si>
  <si>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</si>
  <si>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</si>
  <si>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</si>
  <si>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</si>
  <si>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</si>
  <si>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</si>
  <si>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</si>
  <si>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</si>
  <si>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</si>
  <si>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</si>
  <si>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</si>
  <si>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</si>
  <si>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</si>
  <si>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</si>
  <si>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</si>
  <si>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</si>
  <si>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</si>
  <si>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</si>
  <si>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</si>
  <si>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</si>
  <si>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</si>
  <si>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</si>
  <si>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</si>
  <si>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</si>
  <si>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</si>
  <si>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</si>
  <si>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</si>
  <si>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</si>
  <si>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</si>
  <si>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</si>
  <si>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</si>
  <si>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</si>
  <si>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</si>
  <si>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</si>
  <si>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</si>
  <si>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</si>
  <si>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</si>
  <si>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</si>
  <si>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</si>
  <si>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</si>
  <si>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</si>
  <si>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</si>
  <si>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</si>
  <si>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</si>
  <si>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</si>
  <si>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</si>
  <si>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</si>
  <si>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</si>
  <si>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</si>
  <si>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</si>
  <si>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</si>
  <si>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</si>
  <si>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</si>
  <si>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</si>
  <si>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</si>
  <si>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</si>
  <si>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</si>
  <si>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</si>
  <si>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</si>
  <si>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</si>
  <si>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</si>
  <si>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</si>
  <si>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</si>
  <si>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</si>
  <si>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</si>
  <si>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</si>
  <si>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</si>
  <si>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</si>
  <si>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</si>
  <si>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</si>
  <si>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</si>
  <si>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</si>
  <si>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</si>
  <si>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</si>
  <si>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</si>
  <si>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</si>
  <si>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</si>
  <si>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</si>
  <si>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</si>
  <si>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</si>
  <si>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</si>
  <si>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</si>
  <si>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</si>
  <si>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</si>
  <si>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</si>
  <si>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</si>
  <si>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</si>
  <si>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</si>
  <si>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</si>
  <si>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</si>
  <si>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</si>
  <si>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</si>
  <si>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</si>
  <si>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</si>
  <si>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</si>
  <si>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</si>
  <si>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</si>
  <si>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</si>
  <si>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</si>
  <si>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</si>
  <si>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</si>
  <si>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</si>
  <si>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</si>
  <si>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</si>
  <si>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</si>
  <si>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</si>
  <si>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</si>
  <si>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</si>
  <si>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</si>
  <si>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</si>
  <si>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</si>
  <si>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</si>
  <si>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</si>
  <si>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</si>
  <si>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</si>
  <si>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</si>
  <si>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</si>
  <si>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</si>
  <si>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</si>
  <si>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</si>
  <si>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</si>
  <si>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</si>
  <si>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</si>
  <si>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</si>
  <si>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</si>
  <si>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</si>
  <si>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</si>
  <si>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</si>
  <si>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 xml:space="preserve">In progress 2026-10-20. Done: goose and every process it starts run confined (sandbox-exec on macOS, Landlock on Linux; src/external/sandbox.ts): only the episode's adapter socket and model proxy port are reachable, writes only inside the episode folder, no reads of the harness's files; goose refuses to start unconfined. Adapter and gateway sockets accept one client; calls after cancellation are refused (episode_cancelled); native-mode data sits outside the agent sandbox. Contract 1.2.0. External tests pass with goose confined. Blocker: the bypass tests (direct calls, forged/replayed tokens, unlisted tools, argument smuggling, calls after cancellation, both modes, each with a positive control), the audit check and evidence/external-authorization-report.json are being written by the project owner; the Landlock path has not yet been exercised by a test in the Linux container. Next: run those tests, then mark Completed only if every acceptance item passes.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</si>
</sst>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8"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57</v>
      </c>
      <c r="C5" s="6">
        <f>IF(A5=0,0,B5/A5)</f>
        <v>0.79166666666666663</v>
      </c>
      <c r="D5" s="5">
        <f>COUNTIFS($D$12:$D$83,"Blocked")</f>
        <v>0</v>
      </c>
      <c r="E5" s="5">
        <f>SUM($H$12:$H$83)</f>
        <v>357</v>
      </c>
      <c r="F5" s="5">
        <f>SUMIFS($H$12:$H$83,$D$12:$D$83,"&lt;&gt;Completed")</f>
        <v>104</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558</v>
      </c>
      <c r="E69" s="10" t="s">
        <v>525</v>
      </c>
      <c r="F69" s="10" t="s">
        <v>225</v>
      </c>
      <c r="G69" s="10" t="str">
        <f t="shared" si="4"/>
        <v>In Progress</v>
      </c>
      <c r="H69" s="18">
        <v>6</v>
      </c>
      <c r="I69" s="14"/>
      <c r="J69" s="16"/>
      <c r="K69" s="10" t="s">
        <v>846</v>
      </c>
      <c r="L69" s="10" t="s">
        <v>775</v>
      </c>
      <c r="M69" s="10" t="s">
        <v>776</v>
      </c>
      <c r="N69" s="10" t="s">
        <v>847</v>
      </c>
      <c r="O69" s="10" t="s">
        <v>777</v>
      </c>
      <c r="P69" s="10" t="s">
        <v>778</v>
      </c>
      <c r="Q69" s="10" t="s">
        <v>762</v>
      </c>
      <c r="R69" s="10" t="s">
        <v>223</v>
      </c>
      <c r="S69" s="14"/>
      <c r="T69" s="14" t="s">
        <v>924</v>
      </c>
      <c r="U69" s="10">
        <f t="shared" si="5"/>
        <v>0</v>
      </c>
    </row>
    <row r="70" spans="1:21" ht="64" customHeight="1">
      <c r="A70" s="10" t="s">
        <v>541</v>
      </c>
      <c r="B70" s="10" t="s">
        <v>754</v>
      </c>
      <c r="C70" s="10" t="s">
        <v>780</v>
      </c>
      <c r="D70" s="14" t="s">
        <v>288</v>
      </c>
      <c r="E70" s="10" t="s">
        <v>525</v>
      </c>
      <c r="F70" s="10" t="s">
        <v>138</v>
      </c>
      <c r="G70" s="10" t="str">
        <f t="shared" si="4"/>
        <v>Ready</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3</v>
      </c>
      <c r="D100" s="11">
        <f t="shared" ref="D100" si="17">COUNTIFS($B$12:$B$83,A100,$D$12:$D$83,"Not Started")</f>
        <v>8</v>
      </c>
      <c r="E100" s="11">
        <f t="shared" ref="E100" si="18">COUNTIFS($B$12:$B$83,A100,$D$12:$D$83,"In Progress")</f>
        <v>1</v>
      </c>
      <c r="F100" s="11">
        <f t="shared" ref="F100" si="19">COUNTIFS($B$12:$B$83,A100,$D$12:$D$83,"Blocked")</f>
        <v>0</v>
      </c>
      <c r="G100" s="20">
        <f t="shared" ref="G100" si="20">IF(B100=0,0,C100/B100)</f>
        <v>0.25</v>
      </c>
      <c r="H100" s="11">
        <f t="shared" ref="H100" si="21">SUMIFS($H$12:$H$83,$B$12:$B$83,A100)</f>
        <v>72</v>
      </c>
      <c r="I100" s="11">
        <f>SUMIFS($H$12:$H$83,$B$12:$B$83,A100,$D$12:$D$83,"&lt;&gt;Completed")</f>
        <v>52</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2026-10-20T10:24:53Z</dcterms:modified>
</cp:coreProperties>
</file>