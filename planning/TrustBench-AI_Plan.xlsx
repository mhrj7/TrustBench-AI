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82EC4B5B-A76F-E94C-BA8C-35E66E816FE6}"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6" i="1" l="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<sst xmlns="http://schemas.openxmlformats.org/spreadsheetml/2006/main" count="1223" uniqueCount="879">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</sst>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G83" sqref="G8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35</v>
      </c>
      <c r="C5" s="6">
        <f>IF(A5=0,0,B5/A5)</f>
        <v>0.4861111111111111</v>
      </c>
      <c r="D5" s="5">
        <f>COUNTIFS($D$12:$D$83,"Blocked")</f>
        <v>0</v>
      </c>
      <c r="E5" s="5">
        <f>SUM($H$12:$H$83)</f>
        <v>357</v>
      </c>
      <c r="F5" s="5">
        <f>SUMIFS($H$12:$H$83,$D$12:$D$83,"&lt;&gt;Completed")</f>
        <v>197</v>
      </c>
      <c r="G5" s="6">
        <f>COUNTIFS($Q$12:$Q$83,"Core",$D$12:$D$83,"Completed")/COUNTIFS($Q$12:$Q$83,"Core")</f>
        <v>0.64814814814814814</v>
      </c>
      <c r="H5" s="7">
        <f>IF(B7&gt;0,SUMIFS($H$12:$H$83,$Q$12:$Q$83,"Core",$D$12:$D$83,"&lt;&gt;Completed")/B7,"Set hours/week")</f>
        <v>6.083333333333333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871</v>
      </c>
      <c r="T43" s="14" t="s">
        <v>872</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873</v>
      </c>
      <c r="T44" s="14" t="s">
        <v>874</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875</v>
      </c>
      <c r="T45" s="14" t="s">
        <v>876</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877</v>
      </c>
      <c r="T46" s="14" t="s">
        <v>878</v>
      </c>
      <c r="U46" s="10">
        <f t="shared" si="3"/>
        <v>1</v>
      </c>
    </row>
    <row r="47" spans="1:21" ht="64" customHeight="1">
      <c r="A47" s="10" t="s">
        <v>360</v>
      </c>
      <c r="B47" s="10" t="s">
        <v>320</v>
      </c>
      <c r="C47" s="10" t="s">
        <v>361</v>
      </c>
      <c r="D47" s="14" t="s">
        <v>288</v>
      </c>
      <c r="E47" s="10" t="s">
        <v>352</v>
      </c>
      <c r="F47" s="10"/>
      <c r="G47" s="10" t="str">
        <f t="shared" si="2"/>
        <v>Ready</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5</v>
      </c>
      <c r="D96" s="10">
        <f t="shared" si="8"/>
        <v>1</v>
      </c>
      <c r="E96" s="10">
        <f t="shared" si="9"/>
        <v>0</v>
      </c>
      <c r="F96" s="10">
        <f t="shared" si="10"/>
        <v>0</v>
      </c>
      <c r="G96" s="21">
        <f t="shared" si="11"/>
        <v>0.83333333333333337</v>
      </c>
      <c r="H96" s="10">
        <f t="shared" si="12"/>
        <v>33</v>
      </c>
      <c r="I96" s="10">
        <f t="shared" si="13"/>
        <v>7</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2026-10-17T04:36:03Z</dcterms:modified>
</cp:coreProperties>
</file>