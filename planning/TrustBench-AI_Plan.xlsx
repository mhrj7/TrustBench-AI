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97578c46bb4b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f4f2eacf1b1d43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9283ebe4744a7e" /><Relationship Type="http://schemas.openxmlformats.org/officeDocument/2006/relationships/theme" Target="/xl/theme/theme1.xml" Id="R113f640cbd8e4e44" /><Relationship Type="http://schemas.openxmlformats.org/officeDocument/2006/relationships/sharedStrings" Target="/xl/sharedStrings.xml" Id="R6c0a7f488f7a49ae" /><Relationship Type="http://schemas.openxmlformats.org/officeDocument/2006/relationships/worksheet" Target="/xl/worksheets/sheet1.xml" Id="Rf4f2eacf1b1d436a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0e8cf75ca5e49c4" /><Relationship Type="http://schemas.openxmlformats.org/officeDocument/2006/relationships/table" Target="/xl/tables/table2.xml" Id="R365bd0dc69094f9c" /><Relationship Type="http://schemas.openxmlformats.org/officeDocument/2006/relationships/table" Target="/xl/tables/table3.xml" Id="Rfd437f457a0b47a0" /><Relationship Type="http://schemas.openxmlformats.org/officeDocument/2006/relationships/table" Target="/xl/tables/table4.xml" Id="Rea6e58da315c409c" /><Relationship Type="http://schemas.openxmlformats.org/officeDocument/2006/relationships/table" Target="/xl/tables/table5.xml" Id="R868ef628a74242be" /><Relationship Type="http://schemas.openxmlformats.org/officeDocument/2006/relationships/table" Target="/xl/tables/table6.xml" Id="R53487a1a802d4ff6" /><Relationship Type="http://schemas.openxmlformats.org/officeDocument/2006/relationships/table" Target="/xl/tables/table7.xml" Id="Rfaf099f615c04b6f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7</x:v>
      </x:c>
      <x:c r="C5" s="13" t="n">
        <x:f>IF(A5=0,0,B5/A5)</x:f>
        <x:v>0.11666666666666667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261</x:v>
      </x:c>
      <x:c r="G5" s="13" t="n">
        <x:f>COUNTIFS($Q$12:$Q$71,"Core",$D$12:$D$71,"Completed")/COUNTIFS($Q$12:$Q$71,"Core")</x:f>
        <x:v>0.12962962962962962</x:v>
      </x:c>
      <x:c r="H5" s="14" t="n">
        <x:f>IF(B7&gt;0,SUMIFS($H$12:$H$71,$Q$12:$Q$71,"Core",$D$12:$D$71,"&lt;&gt;Completed")/B7,"Set hours/week")</x:f>
        <x:v>17.416666666666668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Not Started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Ready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/>
      <x:c r="T19" s="23" t="str"/>
      <x:c r="U19" s="19" t="n">
        <x:f>IF(LEN(S19)&gt;0,1,0)</x:f>
        <x:v>0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Not Started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Waiting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/>
      <x:c r="T20" s="23" t="str"/>
      <x:c r="U20" s="19" t="n">
        <x:f>IF(LEN(S20)&gt;0,1,0)</x:f>
        <x:v>0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Not Started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Waiting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/>
      <x:c r="T21" s="23" t="str"/>
      <x:c r="U21" s="19" t="n">
        <x:f>IF(LEN(S21)&gt;0,1,0)</x:f>
        <x:v>0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Not Started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Waiting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/>
      <x:c r="T22" s="23" t="str"/>
      <x:c r="U22" s="19" t="n">
        <x:f>IF(LEN(S22)&gt;0,1,0)</x:f>
        <x:v>0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Not Started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Waiting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/>
      <x:c r="T23" s="23" t="str"/>
      <x:c r="U23" s="19" t="n">
        <x:f>IF(LEN(S23)&gt;0,1,0)</x:f>
        <x:v>0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Not Started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Waiting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/>
      <x:c r="T24" s="22" t="str"/>
      <x:c r="U24" s="19" t="n">
        <x:f>IF(LEN(S24)&gt;0,1,0)</x:f>
        <x:v>0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Waiting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1</x:v>
      </x:c>
      <x:c r="D80" s="19" t="n">
        <x:f>COUNTIFS($B$12:$B$71,A80,$D$12:$D$71,"Not Started")</x:f>
        <x:v>5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0.16666666666666666</x:v>
      </x:c>
      <x:c r="H80" s="19" t="n">
        <x:f>SUMIFS($H$12:$H$71,$B$12:$B$71,A80)</x:f>
        <x:v>24</x:v>
      </x:c>
      <x:c r="I80" s="19" t="n">
        <x:f>SUMIFS($H$12:$H$71,$B$12:$B$71,A80,$D$12:$D$71,"&lt;&gt;Completed")</x:f>
        <x:v>21</x:v>
      </x:c>
      <x:c r="J80" s="19" t="n">
        <x:f>COUNTIFS($B$12:$B$71,A80,$G$12:$G$71,"Ready")</x:f>
        <x:v>1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0</x:v>
      </x:c>
      <x:c r="D81" s="20" t="n">
        <x:f>COUNTIFS($B$12:$B$71,A81,$D$12:$D$71,"Not Started")</x:f>
        <x:v>6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</x:v>
      </x:c>
      <x:c r="H81" s="20" t="n">
        <x:f>SUMIFS($H$12:$H$71,$B$12:$B$71,A81)</x:f>
        <x:v>27</x:v>
      </x:c>
      <x:c r="I81" s="20" t="n">
        <x:f>SUMIFS($H$12:$H$71,$B$12:$B$71,A81,$D$12:$D$71,"&lt;&gt;Completed")</x:f>
        <x:v>27</x:v>
      </x:c>
      <x:c r="J81" s="20" t="n">
        <x:f>COUNTIFS($B$12:$B$71,A81,$G$12:$G$71,"Ready")</x:f>
        <x:v>0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d0e8cf75ca5e49c4"/>
    <x:tablePart xmlns:r="http://schemas.openxmlformats.org/officeDocument/2006/relationships" r:id="R365bd0dc69094f9c"/>
    <x:tablePart xmlns:r="http://schemas.openxmlformats.org/officeDocument/2006/relationships" r:id="Rfd437f457a0b47a0"/>
    <x:tablePart xmlns:r="http://schemas.openxmlformats.org/officeDocument/2006/relationships" r:id="Rea6e58da315c409c"/>
    <x:tablePart xmlns:r="http://schemas.openxmlformats.org/officeDocument/2006/relationships" r:id="R868ef628a74242be"/>
    <x:tablePart xmlns:r="http://schemas.openxmlformats.org/officeDocument/2006/relationships" r:id="R53487a1a802d4ff6"/>
    <x:tablePart xmlns:r="http://schemas.openxmlformats.org/officeDocument/2006/relationships" r:id="Rfaf099f615c04b6f"/>
  </x:tableParts>
</x:worksheet>
</file>