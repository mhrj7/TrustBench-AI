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5cd6c5d19540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1481ff0a8b844d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17efe71084d4f" /><Relationship Type="http://schemas.openxmlformats.org/officeDocument/2006/relationships/theme" Target="/xl/theme/theme1.xml" Id="Rc2d97d63280e4ad6" /><Relationship Type="http://schemas.openxmlformats.org/officeDocument/2006/relationships/sharedStrings" Target="/xl/sharedStrings.xml" Id="Re7237cc66a0443d6" /><Relationship Type="http://schemas.openxmlformats.org/officeDocument/2006/relationships/worksheet" Target="/xl/worksheets/sheet1.xml" Id="R1481ff0a8b844d62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e72e209bbd4f33" /><Relationship Type="http://schemas.openxmlformats.org/officeDocument/2006/relationships/table" Target="/xl/tables/table2.xml" Id="R4cae7b805c854282" /><Relationship Type="http://schemas.openxmlformats.org/officeDocument/2006/relationships/table" Target="/xl/tables/table3.xml" Id="Re373972882394892" /><Relationship Type="http://schemas.openxmlformats.org/officeDocument/2006/relationships/table" Target="/xl/tables/table4.xml" Id="R25260fbcac0449e4" /><Relationship Type="http://schemas.openxmlformats.org/officeDocument/2006/relationships/table" Target="/xl/tables/table5.xml" Id="R9cd04cb7061944d0" /><Relationship Type="http://schemas.openxmlformats.org/officeDocument/2006/relationships/table" Target="/xl/tables/table6.xml" Id="R4ff8b7548262446b" /><Relationship Type="http://schemas.openxmlformats.org/officeDocument/2006/relationships/table" Target="/xl/tables/table7.xml" Id="R6c4b0d49849f447b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16</x:v>
      </x:c>
      <x:c r="C5" s="13" t="n">
        <x:f>IF(A5=0,0,B5/A5)</x:f>
        <x:v>0.26666666666666666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220</x:v>
      </x:c>
      <x:c r="G5" s="13" t="n">
        <x:f>COUNTIFS($Q$12:$Q$71,"Core",$D$12:$D$71,"Completed")/COUNTIFS($Q$12:$Q$71,"Core")</x:f>
        <x:v>0.2962962962962963</x:v>
      </x:c>
      <x:c r="H5" s="14" t="n">
        <x:f>IF(B7&gt;0,SUMIFS($H$12:$H$71,$Q$12:$Q$71,"Core",$D$12:$D$71,"&lt;&gt;Completed")/B7,"Set hours/week")</x:f>
        <x:v>14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Completed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Done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>
        <x:v>/Volumes/MHRJ/TrustBench-AI/evidence/tb014-tool-service-report.json; /Volumes/MHRJ/TrustBench-AI/src/tools/; /Volumes/MHRJ/TrustBench-AI/agent/sandbox.ts; /Volumes/MHRJ/TrustBench-AI/agent/sandbox/Dockerfile</x:v>
      </x:c>
      <x:c r="T25" s="23"/>
      <x:c r="U25" s="19" t="n">
        <x:f>IF(LEN(S25)&gt;0,1,0)</x:f>
        <x:v>1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Completed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Done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>
        <x:v>/Volumes/MHRJ/TrustBench-AI/evidence/tb015-baseline-agent-report.json; /Volumes/MHRJ/TrustBench-AI/src/agent/</x:v>
      </x:c>
      <x:c r="T26" s="23"/>
      <x:c r="U26" s="19" t="n">
        <x:f>IF(LEN(S26)&gt;0,1,0)</x:f>
        <x:v>1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Completed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Done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>
        <x:v>/Volumes/MHRJ/TrustBench-AI/evidence/tb016-evaluator-report.json; /Volumes/MHRJ/TrustBench-AI/src/evaluators/; /Volumes/MHRJ/TrustBench-AI/tests/evaluators/</x:v>
      </x:c>
      <x:c r="T27" s="23"/>
      <x:c r="U27" s="19" t="n">
        <x:f>IF(LEN(S27)&gt;0,1,0)</x:f>
        <x:v>1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Ready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4</x:v>
      </x:c>
      <x:c r="D81" s="20" t="n">
        <x:f>COUNTIFS($B$12:$B$71,A81,$D$12:$D$71,"Not Started")</x:f>
        <x:v>2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0.6666666666666666</x:v>
      </x:c>
      <x:c r="H81" s="20" t="n">
        <x:f>SUMIFS($H$12:$H$71,$B$12:$B$71,A81)</x:f>
        <x:v>27</x:v>
      </x:c>
      <x:c r="I81" s="20" t="n">
        <x:f>SUMIFS($H$12:$H$71,$B$12:$B$71,A81,$D$12:$D$71,"&lt;&gt;Completed")</x:f>
        <x:v>7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9de72e209bbd4f33"/>
    <x:tablePart xmlns:r="http://schemas.openxmlformats.org/officeDocument/2006/relationships" r:id="R4cae7b805c854282"/>
    <x:tablePart xmlns:r="http://schemas.openxmlformats.org/officeDocument/2006/relationships" r:id="Re373972882394892"/>
    <x:tablePart xmlns:r="http://schemas.openxmlformats.org/officeDocument/2006/relationships" r:id="R25260fbcac0449e4"/>
    <x:tablePart xmlns:r="http://schemas.openxmlformats.org/officeDocument/2006/relationships" r:id="R9cd04cb7061944d0"/>
    <x:tablePart xmlns:r="http://schemas.openxmlformats.org/officeDocument/2006/relationships" r:id="R4ff8b7548262446b"/>
    <x:tablePart xmlns:r="http://schemas.openxmlformats.org/officeDocument/2006/relationships" r:id="R6c4b0d49849f447b"/>
  </x:tableParts>
</x:worksheet>
</file>