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E3DEB800-5486-B846-881E-929FC252001A}"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G59" i="1"/>
  <c r="U58" i="1"/>
  <c r="G58" i="1"/>
  <c r="U57" i="1"/>
  <c r="G57" i="1"/>
  <c r="U56" i="1"/>
  <c r="G56" i="1"/>
  <c r="U55" i="1"/>
  <c r="G55" i="1"/>
  <c r="U54" i="1"/>
  <c r="U53" i="1"/>
  <c r="G60" i="1" s="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<sst xmlns="http://schemas.openxmlformats.org/spreadsheetml/2006/main" count="1237" uniqueCount="893">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</sst>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1"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42</v>
      </c>
      <c r="C5" s="6">
        <f>IF(A5=0,0,B5/A5)</f>
        <v>0.58333333333333337</v>
      </c>
      <c r="D5" s="5">
        <f>COUNTIFS($D$12:$D$83,"Blocked")</f>
        <v>0</v>
      </c>
      <c r="E5" s="5">
        <f>SUM($H$12:$H$83)</f>
        <v>357</v>
      </c>
      <c r="F5" s="5">
        <f>SUMIFS($H$12:$H$83,$D$12:$D$83,"&lt;&gt;Completed")</f>
        <v>165</v>
      </c>
      <c r="G5" s="6">
        <f>COUNTIFS($Q$12:$Q$83,"Core",$D$12:$D$83,"Completed")/COUNTIFS($Q$12:$Q$83,"Core")</f>
        <v>0.77777777777777779</v>
      </c>
      <c r="H5" s="7">
        <f>IF(B7&gt;0,SUMIFS($H$12:$H$83,$Q$12:$Q$83,"Core",$D$12:$D$83,"&lt;&gt;Completed")/B7,"Set hours/week")</f>
        <v>3.4166666666666665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288</v>
      </c>
      <c r="E54" s="12" t="s">
        <v>360</v>
      </c>
      <c r="F54" s="12"/>
      <c r="G54" s="12" t="str">
        <f t="shared" si="2"/>
        <v>Ready</v>
      </c>
      <c r="H54" s="17">
        <v>4</v>
      </c>
      <c r="I54" s="13"/>
      <c r="J54" s="15"/>
      <c r="K54" s="12" t="s">
        <v>416</v>
      </c>
      <c r="L54" s="12" t="s">
        <v>417</v>
      </c>
      <c r="M54" s="12" t="s">
        <v>418</v>
      </c>
      <c r="N54" s="12" t="s">
        <v>419</v>
      </c>
      <c r="O54" s="12" t="s">
        <v>420</v>
      </c>
      <c r="P54" s="12" t="s">
        <v>421</v>
      </c>
      <c r="Q54" s="12" t="s">
        <v>43</v>
      </c>
      <c r="R54" s="12" t="s">
        <v>53</v>
      </c>
      <c r="S54" s="13"/>
      <c r="T54" s="13"/>
      <c r="U54" s="10">
        <f t="shared" si="3"/>
        <v>0</v>
      </c>
    </row>
    <row r="55" spans="1:21" ht="64" customHeight="1">
      <c r="A55" s="10" t="s">
        <v>422</v>
      </c>
      <c r="B55" s="10" t="s">
        <v>414</v>
      </c>
      <c r="C55" s="10" t="s">
        <v>423</v>
      </c>
      <c r="D55" s="14" t="s">
        <v>288</v>
      </c>
      <c r="E55" s="10" t="s">
        <v>413</v>
      </c>
      <c r="F55" s="10"/>
      <c r="G55" s="10" t="str">
        <f t="shared" si="2"/>
        <v>Waiting</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2026-10-17T17:58:54Z</dcterms:modified>
</cp:coreProperties>
</file>