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A11ABF4A-D699-274F-A335-5B12B8A2AD1E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<sst xmlns="http://schemas.openxmlformats.org/spreadsheetml/2006/main" count="1044" uniqueCount="768">
  <si>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</si>
  <si>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</si>
  <si>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</si>
  <si>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</si>
  <si>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</si>
  <si>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</si>
  <si>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</si>
  <si>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</si>
  <si>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</si>
  <si>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</si>
  <si>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</si>
  <si>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</si>
  <si>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</si>
  <si>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</si>
  <si>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</si>
  <si>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</si>
  <si>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</si>
  <si>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</si>
  <si>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</si>
  <si>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</si>
  <si>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</si>
  <si>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</si>
  <si>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</si>
  <si>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</si>
  <si>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</si>
  <si>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</si>
  <si>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</si>
  <si>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</si>
  <si>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</si>
  <si>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</si>
  <si>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</si>
  <si>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</si>
  <si>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</si>
  <si>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</si>
  <si>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</si>
  <si>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</si>
  <si>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</si>
  <si>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</si>
  <si>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</si>
  <si>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</si>
  <si>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</si>
  <si>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</si>
  <si>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</si>
  <si>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</si>
  <si>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</si>
  <si>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</si>
  <si>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</si>
  <si>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</si>
  <si>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</si>
  <si>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</si>
  <si>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</si>
  <si>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</si>
  <si>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</si>
  <si>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</si>
  <si>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</si>
  <si>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</si>
  <si>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</si>
  <si>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</si>
  <si>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</si>
  <si>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</si>
  <si>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</si>
  <si>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</si>
  <si>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</si>
  <si>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</si>
  <si>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</si>
  <si>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</si>
  <si>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</si>
  <si>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</si>
  <si>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</si>
  <si>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</si>
  <si>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</si>
  <si>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</si>
  <si>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</si>
  <si>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</si>
  <si>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</si>
  <si>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</si>
  <si>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</si>
  <si>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</si>
  <si>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</si>
  <si>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</si>
  <si>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</si>
  <si>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</si>
  <si>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</si>
  <si>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</si>
  <si>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</si>
  <si>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</si>
  <si>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</si>
  <si>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</si>
  <si>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</si>
  <si>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</si>
  <si>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</si>
  <si>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</si>
  <si>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</si>
  <si>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</si>
  <si>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</si>
  <si>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</si>
  <si>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</si>
  <si>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</si>
  <si>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</si>
  <si>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</si>
  <si>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</si>
  <si>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</si>
  <si>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</si>
  <si>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</si>
  <si>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</si>
  <si>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</si>
  <si>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</si>
  <si>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</si>
  <si>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</si>
  <si>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</si>
  <si>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</si>
  <si>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</si>
  <si>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</si>
  <si>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</si>
  <si>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</si>
  <si>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</si>
  <si>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</si>
  <si>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</si>
  <si>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</si>
  <si>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</si>
  <si>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</si>
  <si>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</si>
  <si>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</si>
  <si>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</si>
  <si>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</si>
  <si>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</si>
  <si>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</si>
  <si>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</si>
  <si>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</si>
  <si>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</si>
  <si>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</si>
  <si>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</si>
  <si>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</si>
  <si>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</si>
  <si>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</si>
  <si>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</si>
  <si>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</si>
  <si>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</si>
  <si>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</si>
  <si>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</si>
  <si>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</si>
  <si>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</si>
  <si>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</si>
  <si>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</si>
  <si>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</si>
  <si>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</si>
  <si>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</si>
  <si>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</si>
  <si>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</si>
  <si>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</si>
  <si>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</si>
  <si>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</si>
  <si>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</si>
  <si>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</si>
  <si>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</si>
  <si>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</si>
  <si>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</si>
  <si>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</si>
  <si>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</si>
  <si>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</si>
  <si>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</si>
  <si>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</si>
  <si>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</si>
  <si>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</si>
  <si>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</si>
  <si>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</si>
  <si>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</si>
  <si>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</si>
  <si>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</si>
  <si>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</si>
  <si>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</si>
  <si>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</si>
  <si>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</si>
  <si>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</si>
  <si>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</si>
  <si>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</si>
  <si>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</si>
  <si>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</si>
  <si>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</si>
  <si>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</si>
  <si>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</si>
  <si>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</si>
  <si>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</si>
  <si>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</si>
  <si>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</si>
  <si>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</si>
  <si>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</si>
  <si>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</si>
  <si>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</si>
  <si>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</si>
  <si>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</si>
  <si>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</si>
  <si>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</si>
  <si>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</si>
  <si>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</si>
  <si>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</si>
  <si>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</si>
  <si>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</si>
  <si>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</si>
  <si>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</si>
  <si>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</si>
  <si>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</si>
  <si>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</si>
  <si>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</si>
  <si>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</si>
  <si>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</si>
  <si>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</si>
  <si>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</si>
  <si>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</si>
  <si>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</si>
  <si>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</si>
  <si>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</si>
  <si>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</si>
  <si>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</si>
  <si>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</si>
  <si>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</si>
  <si>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</si>
  <si>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</si>
  <si>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</si>
  <si>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</si>
  <si>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</si>
  <si>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</si>
  <si>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</si>
  <si>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</si>
  <si>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</si>
  <si>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</si>
  <si>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</si>
  <si>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</si>
  <si>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</si>
  <si>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</si>
  <si>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</si>
  <si>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</si>
  <si>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</si>
  <si>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</si>
  <si>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</si>
  <si>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</si>
  <si>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</si>
  <si>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</si>
  <si>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</si>
  <si>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</si>
  <si>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</si>
  <si>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</si>
  <si>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</si>
  <si>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</si>
  <si>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</si>
  <si>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</si>
  <si>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</si>
  <si>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</si>
  <si>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</si>
  <si>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</si>
  <si>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</si>
  <si>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</si>
  <si>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</si>
  <si>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</si>
  <si>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</si>
  <si>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</si>
  <si>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</si>
  <si>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</si>
  <si>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</si>
  <si>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</si>
  <si>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</si>
  <si>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</si>
  <si>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</si>
  <si>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</si>
  <si>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</si>
  <si>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</si>
  <si>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</si>
  <si>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</si>
  <si>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</si>
  <si>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</si>
  <si>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</si>
  <si>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</si>
  <si>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</si>
  <si>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</si>
  <si>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</si>
  <si>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</si>
  <si>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</si>
  <si>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</si>
  <si>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</si>
  <si>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</si>
  <si>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</si>
  <si>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</si>
  <si>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</si>
  <si>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</si>
  <si>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</si>
  <si>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</si>
  <si>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</si>
  <si>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</si>
  <si>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</si>
  <si>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</si>
  <si>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</si>
  <si>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</si>
  <si>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</si>
  <si>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</si>
  <si>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</si>
  <si>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</si>
  <si>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</si>
  <si>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</si>
  <si>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</si>
  <si>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</si>
  <si>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</si>
  <si>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</si>
  <si>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</si>
  <si>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</si>
  <si>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</si>
  <si>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</si>
  <si>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</si>
  <si>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</si>
  <si>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</si>
  <si>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</si>
  <si>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</si>
  <si>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</si>
  <si>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</si>
  <si>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</si>
  <si>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</si>
  <si>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</si>
  <si>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</si>
  <si>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</si>
  <si>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</si>
  <si>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</si>
  <si>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</si>
  <si>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</si>
  <si>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</si>
  <si>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</si>
  <si>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</si>
  <si>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</si>
  <si>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</si>
  <si>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</si>
  <si>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</si>
  <si>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</si>
  <si>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</si>
  <si>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</si>
  <si>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</si>
  <si>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</si>
  <si>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</si>
  <si>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</si>
  <si>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</si>
  <si>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</si>
  <si>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</si>
  <si>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</si>
  <si>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</si>
  <si>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</si>
  <si>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</si>
  <si>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</si>
  <si>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</si>
  <si>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</si>
  <si>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</si>
  <si>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</si>
  <si>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</si>
  <si>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</si>
  <si>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</si>
  <si>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</si>
  <si>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</si>
  <si>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</si>
  <si>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</si>
  <si>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</si>
  <si>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</si>
  <si>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</si>
  <si>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</si>
  <si>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</si>
  <si>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</si>
  <si>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</si>
  <si>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</si>
  <si>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</si>
  <si>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</si>
  <si>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</si>
  <si>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</si>
  <si>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</si>
  <si>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</si>
  <si>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</si>
  <si>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</si>
  <si>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</si>
  <si>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</si>
  <si>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</si>
  <si>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</si>
  <si>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</si>
  <si>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</si>
  <si>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</si>
  <si>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</si>
  <si>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</si>
  <si>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</si>
  <si>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</si>
  <si>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</si>
  <si>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</si>
  <si>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</si>
  <si>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</si>
  <si>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</si>
  <si>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</si>
  <si>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</si>
  <si>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</si>
  <si>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</si>
  <si>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</si>
  <si>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</si>
  <si>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</si>
  <si>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</si>
  <si>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</si>
  <si>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</si>
  <si>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</si>
  <si>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</si>
  <si>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</si>
  <si>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</si>
  <si>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</si>
  <si>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</si>
  <si>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</si>
  <si>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</si>
  <si>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</si>
  <si>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</si>
  <si>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</si>
  <si>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</si>
  <si>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</si>
  <si>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</si>
  <si>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</si>
  <si>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</si>
  <si>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</si>
  <si>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</si>
  <si>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</si>
  <si>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</si>
  <si>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</si>
  <si>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</si>
  <si>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</si>
  <si>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</si>
  <si>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</si>
  <si>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</si>
  <si>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</si>
  <si>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</si>
  <si>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</si>
  <si>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</si>
  <si>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</si>
  <si>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</si>
  <si>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</si>
  <si>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</si>
  <si>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</si>
  <si>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</si>
  <si>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</si>
  <si>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</si>
  <si>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</si>
  <si>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</si>
  <si>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</si>
  <si>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</si>
  <si>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</si>
  <si>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</si>
  <si>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</si>
  <si>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</si>
  <si>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</si>
  <si>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</si>
  <si>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</si>
  <si>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</si>
  <si>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</si>
  <si>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</si>
  <si>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</si>
  <si>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</si>
  <si>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</si>
  <si>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</si>
  <si>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</si>
  <si>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</si>
  <si>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</si>
  <si>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</si>
  <si>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</si>
  <si>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</si>
  <si>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</si>
  <si>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</si>
  <si>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</si>
  <si>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</si>
  <si>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</si>
  <si>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</si>
  <si>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</si>
  <si>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</si>
  <si>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</si>
  <si>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</si>
  <si>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</si>
  <si>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</si>
  <si>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</si>
  <si>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</si>
  <si>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</si>
  <si>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</si>
  <si>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</si>
  <si>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</si>
  <si>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</si>
  <si>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</si>
  <si>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</si>
  <si>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</si>
  <si>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</si>
  <si>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</si>
  <si>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</si>
  <si>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</si>
  <si>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</si>
  <si>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</si>
  <si>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</si>
  <si>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</si>
  <si>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</si>
  <si>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</si>
  <si>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</si>
  <si>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</si>
  <si>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</si>
  <si>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</si>
  <si>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</si>
  <si>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</si>
  <si>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</si>
  <si>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</si>
  <si>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</si>
  <si>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</si>
  <si>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</si>
  <si>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</si>
  <si>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</si>
  <si>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</si>
  <si>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</si>
  <si>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</si>
  <si>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</si>
  <si>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</si>
  <si>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</si>
  <si>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</si>
  <si>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</si>
  <si>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</si>
  <si>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</si>
  <si>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</si>
  <si>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</si>
  <si>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</si>
  <si>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</si>
  <si>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</si>
  <si>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</si>
  <si>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</si>
  <si>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</si>
  <si>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</si>
  <si>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</si>
  <si>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</si>
  <si>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</si>
  <si>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</si>
  <si>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</si>
  <si>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</si>
  <si>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</si>
  <si>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</si>
  <si>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</si>
  <si>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</si>
  <si>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</si>
  <si>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</si>
  <si>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</si>
  <si>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</si>
  <si>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</si>
  <si>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</si>
  <si>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</si>
  <si>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</si>
  <si>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</si>
  <si>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</si>
  <si>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</si>
  <si>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</si>
  <si>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</si>
  <si>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</si>
  <si>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</si>
  <si>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</si>
  <si>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</si>
  <si>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</si>
  <si>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</si>
  <si>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</si>
  <si>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</si>
  <si>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</si>
  <si>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</si>
  <si>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</si>
  <si>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</si>
  <si>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</si>
  <si>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</si>
  <si>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</si>
  <si>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</si>
  <si>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</si>
  <si>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</si>
  <si>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</si>
  <si>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</si>
  <si>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</si>
  <si>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</si>
  <si>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</si>
  <si>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</si>
  <si>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</si>
  <si>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</si>
  <si>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</si>
  <si>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</si>
  <si>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</si>
  <si>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</si>
  <si>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</si>
  <si>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</si>
  <si>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</si>
  <si>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</si>
  <si>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</si>
  <si>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</si>
  <si>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</si>
  <si>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</si>
  <si>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</si>
  <si>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</si>
  <si>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</si>
  <si>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</si>
  <si>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</si>
  <si>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</si>
  <si>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</si>
  <si>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</si>
  <si>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</si>
  <si>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</si>
  <si>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</si>
  <si>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</si>
  <si>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</si>
  <si>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</si>
  <si>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</si>
  <si>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</si>
  <si>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</si>
  <si>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</si>
  <si>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</si>
  <si>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</si>
  <si>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</si>
  <si>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</si>
  <si>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</si>
  <si>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</si>
  <si>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</si>
  <si>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</si>
  <si>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</si>
  <si>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</si>
  <si>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</si>
  <si>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</si>
  <si>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</si>
  <si>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</si>
  <si>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</si>
  <si>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</si>
  <si>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</si>
  <si>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</si>
  <si>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</si>
  <si>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</si>
  <si>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</si>
  <si>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</si>
  <si>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</si>
  <si>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</si>
  <si>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</si>
  <si>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</si>
  <si>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</si>
  <si>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</si>
  <si>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</si>
  <si>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</si>
  <si>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</si>
  <si>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</si>
  <si>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</si>
  <si>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</si>
  <si>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</si>
  <si>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</si>
  <si>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</si>
  <si>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</si>
  <si>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</si>
  <si>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</si>
  <si>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</si>
  <si>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</si>
  <si>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</si>
  <si>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</si>
  <si>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</si>
  <si>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</si>
  <si>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</si>
  <si>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</si>
  <si>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</si>
  <si>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</si>
  <si>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</si>
  <si>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</si>
  <si>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</si>
  <si>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</si>
  <si>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</si>
  <si>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</si>
  <si>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</si>
  <si>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</si>
  <si>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</si>
  <si>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</si>
  <si>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</si>
  <si>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</si>
  <si>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</si>
  <si>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</si>
  <si>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</si>
  <si>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</si>
  <si>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</si>
  <si>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</si>
  <si>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</si>
  <si>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</si>
  <si>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</si>
  <si>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</si>
  <si>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</si>
  <si>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</si>
  <si>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</si>
  <si>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</si>
  <si>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</si>
  <si>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</si>
  <si>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</si>
  <si>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</si>
  <si>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</si>
  <si>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</si>
  <si>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</si>
  <si>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</si>
  <si>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</si>
  <si>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</si>
  <si>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</si>
  <si>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</si>
  <si>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</si>
  <si>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</si>
  <si>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</si>
  <si>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</si>
  <si>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</si>
  <si>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</si>
  <si>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</si>
  <si>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</si>
  <si>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</si>
  <si>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</si>
  <si>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</si>
  <si>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</si>
  <si>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</si>
  <si>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</si>
  <si>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</si>
  <si>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</si>
  <si>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</si>
  <si>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</si>
  <si>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</si>
  <si>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</si>
  <si>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</si>
  <si>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</si>
  <si>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</si>
  <si>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</si>
  <si>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</si>
  <si>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</si>
  <si>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</si>
  <si>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</si>
  <si>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</si>
  <si>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</si>
  <si>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</si>
  <si>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</si>
  <si>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</si>
  <si>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</si>
  <si>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</si>
  <si>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</si>
  <si>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</si>
  <si>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</si>
  <si>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</si>
  <si>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</si>
  <si>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</si>
  <si>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</si>
  <si>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</si>
  <si>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</si>
  <si>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</si>
  <si>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</si>
  <si>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</si>
  <si>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</si>
  <si>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</si>
  <si>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</si>
  <si>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</si>
  <si>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</si>
  <si>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</si>
  <si>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</si>
  <si>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</si>
  <si>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</si>
  <si>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</si>
  <si>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</si>
  <si>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</si>
  <si>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</si>
  <si>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</si>
  <si>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</si>
  <si>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</si>
  <si>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</si>
  <si>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</si>
  <si>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</si>
  <si>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</si>
  <si>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</si>
  <si>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</si>
  <si>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</si>
  <si>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</si>
  <si>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</si>
  <si>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</si>
  <si>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</si>
  <si>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</si>
  <si>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</si>
  <si>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/Volumes/MHRJ/TrustBench-AI/reports/attribution-audit/; /Volumes/MHRJ/TrustBench-AI/data/reviews/attribution-ai-audit.jsonl; /Volumes/MHRJ/TrustBench-AI/evidence/tb029-attribution-accuracy.json; /Volumes/MHRJ/TrustBench-AI/docs/attribution.md; /Volumes/MHRJ/TrustBench-AI/docs/attribution-audit.md; /Volumes/MHRJ/TrustBench-AI/tests/analysis/</t>
  </si>
  <si>
    <t>BLOCKED on human calibration. Done: localizer 1.1.0 over 2,464 failed live runs (reports/attribution.csv); constructed ground truth 86/86; AI audit (Claude, labelled as AI, not human) round 1 = 48/59 checks on localizer 1.0 (drove 6 fixes), round 2 on 50 fresh cases = 61/65 checks (utility 37/41, security 24/24); every case in docs/attribution-audit.md; 4 open localizer defects listed there. Next: a human reviews the 50 round-2 cases (npm run review:attribution) so the AI audit can be calibrated; then npm run attribution:build.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</si>
</sst>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33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28</v>
      </c>
      <c r="C5" s="6">
        <f>IF(A5=0,0,B5/A5)</f>
        <v>0.46666666666666667</v>
      </c>
      <c r="D5" s="5">
        <f>COUNTIFS($D$12:$D$71,"Blocked")</f>
        <v>1</v>
      </c>
      <c r="E5" s="5">
        <f>SUM($H$12:$H$71)</f>
        <v>285</v>
      </c>
      <c r="F5" s="5">
        <f>SUMIFS($H$12:$H$71,$D$12:$D$71,"&lt;&gt;Completed")</f>
        <v>162</v>
      </c>
      <c r="G5" s="6">
        <f>COUNTIFS($Q$12:$Q$71,"Core",$D$12:$D$71,"Completed")/COUNTIFS($Q$12:$Q$71,"Core")</f>
        <v>0.51851851851851849</v>
      </c>
      <c r="H5" s="7">
        <f>IF(B7&gt;0,SUMIFS($H$12:$H$71,$Q$12:$Q$71,"Core",$D$12:$D$71,"&lt;&gt;Completed")/B7,"Set hours/week")</f>
        <v>9.1666666666666661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</v>
      </c>
      <c r="E38" s="11" t="s">
        <v>285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 t="s">
        <v>762</v>
      </c>
      <c r="T38" s="14" t="s">
        <v>763</v>
      </c>
      <c r="U38" s="10">
        <f t="shared" si="1"/>
        <v>1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</v>
      </c>
      <c r="E39" s="10" t="s">
        <v>295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 t="s">
        <v>764</v>
      </c>
      <c r="T39" s="14" t="s">
        <v>765</v>
      </c>
      <c r="U39" s="10">
        <f t="shared" si="1"/>
        <v>1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4</v>
      </c>
      <c r="E40" s="11" t="s">
        <v>304</v>
      </c>
      <c r="F40" s="11"/>
      <c r="G40" s="11" t="str">
        <f t="shared" si="0"/>
        <v>Blocked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4</v>
      </c>
      <c r="D83" s="11">
        <f t="shared" si="6"/>
        <v>1</v>
      </c>
      <c r="E83" s="11">
        <f t="shared" si="7"/>
        <v>0</v>
      </c>
      <c r="F83" s="11">
        <f t="shared" si="8"/>
        <v>1</v>
      </c>
      <c r="G83" s="20">
        <f t="shared" si="9"/>
        <v>0.66666666666666663</v>
      </c>
      <c r="H83" s="11">
        <f t="shared" si="10"/>
        <v>29</v>
      </c>
      <c r="I83" s="11">
        <f t="shared" si="11"/>
        <v>11</v>
      </c>
      <c r="J83" s="11">
        <f t="shared" si="12"/>
        <v>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2026-10-16T11:11:18Z</dcterms:modified>
</cp:coreProperties>
</file>